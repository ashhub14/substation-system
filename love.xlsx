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asur\Documents\"/>
    </mc:Choice>
  </mc:AlternateContent>
  <xr:revisionPtr revIDLastSave="0" documentId="8_{4ECD8F83-7BD4-4ADA-81D0-CEE27C78B78D}" xr6:coauthVersionLast="47" xr6:coauthVersionMax="47" xr10:uidLastSave="{00000000-0000-0000-0000-000000000000}"/>
  <bookViews>
    <workbookView xWindow="-120" yWindow="-120" windowWidth="20730" windowHeight="11040" xr2:uid="{C5C80D2B-F478-402A-9BF2-61E8235F73E2}"/>
  </bookViews>
  <sheets>
    <sheet name="MAR.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E14" i="1" l="1"/>
  <c r="BF14" i="1"/>
  <c r="BE15" i="1"/>
  <c r="BF15" i="1"/>
  <c r="BE16" i="1"/>
  <c r="BF16" i="1"/>
  <c r="BE17" i="1"/>
  <c r="BF17" i="1"/>
  <c r="BE18" i="1"/>
  <c r="BF18" i="1" s="1"/>
  <c r="BE19" i="1"/>
  <c r="BF19" i="1"/>
  <c r="BE20" i="1"/>
  <c r="BF20" i="1"/>
  <c r="BE21" i="1"/>
  <c r="BF21" i="1"/>
  <c r="BE22" i="1"/>
  <c r="BF22" i="1"/>
  <c r="BE23" i="1"/>
  <c r="BF23" i="1"/>
  <c r="BE24" i="1"/>
  <c r="BF24" i="1"/>
  <c r="BE25" i="1"/>
  <c r="BF25" i="1"/>
  <c r="BE26" i="1"/>
  <c r="BF26" i="1" s="1"/>
  <c r="BE27" i="1"/>
  <c r="BF27" i="1"/>
  <c r="BE28" i="1"/>
  <c r="BF28" i="1" s="1"/>
  <c r="BE29" i="1"/>
  <c r="BF29" i="1"/>
  <c r="BE30" i="1"/>
  <c r="BF30" i="1" s="1"/>
  <c r="BE31" i="1"/>
  <c r="BF31" i="1"/>
  <c r="BE32" i="1"/>
  <c r="BF32" i="1" s="1"/>
  <c r="BE33" i="1"/>
  <c r="BF33" i="1"/>
  <c r="BE34" i="1"/>
  <c r="BF34" i="1" s="1"/>
  <c r="BE35" i="1"/>
  <c r="BF35" i="1"/>
  <c r="BE36" i="1"/>
  <c r="BF36" i="1" s="1"/>
  <c r="BE37" i="1"/>
  <c r="BF37" i="1"/>
</calcChain>
</file>

<file path=xl/sharedStrings.xml><?xml version="1.0" encoding="utf-8"?>
<sst xmlns="http://schemas.openxmlformats.org/spreadsheetml/2006/main" count="150" uniqueCount="61">
  <si>
    <t>8pm - 12mn</t>
  </si>
  <si>
    <t>TIME OF DUTY:</t>
  </si>
  <si>
    <t>MR. NESTOR BAÑARIA</t>
  </si>
  <si>
    <t>TENDER:</t>
  </si>
  <si>
    <t>SIGNATURE:</t>
  </si>
  <si>
    <t>8am - 8pm</t>
  </si>
  <si>
    <t>ENGR. CRISMAR SABORDO</t>
  </si>
  <si>
    <t>12mn - 8am</t>
  </si>
  <si>
    <t>ENGR. JOHN CERILLO</t>
  </si>
  <si>
    <t>REMARKS</t>
  </si>
  <si>
    <t>IN/IG</t>
  </si>
  <si>
    <t>IC</t>
  </si>
  <si>
    <t>IB</t>
  </si>
  <si>
    <t>IA</t>
  </si>
  <si>
    <t>DURATION (HH:MM:SS)</t>
  </si>
  <si>
    <t>TO (HH:MM:SS)</t>
  </si>
  <si>
    <t>FROM (HH:MM:SS)</t>
  </si>
  <si>
    <t>PRIMARY SIDE INTERRUPTION REPORT</t>
  </si>
  <si>
    <t>FEEDER 9</t>
  </si>
  <si>
    <t>FEEDER 8</t>
  </si>
  <si>
    <t xml:space="preserve"> </t>
  </si>
  <si>
    <t>KVA</t>
  </si>
  <si>
    <t>I Total</t>
  </si>
  <si>
    <t>L3</t>
  </si>
  <si>
    <t>L2</t>
  </si>
  <si>
    <t>L1</t>
  </si>
  <si>
    <t>AVE.</t>
  </si>
  <si>
    <t>C</t>
  </si>
  <si>
    <t>B</t>
  </si>
  <si>
    <t>A</t>
  </si>
  <si>
    <t>N</t>
  </si>
  <si>
    <t>L3L1</t>
  </si>
  <si>
    <t>L2L3</t>
  </si>
  <si>
    <t>L1L2</t>
  </si>
  <si>
    <t xml:space="preserve">VOLTAGE OUTPUT
(Vdc) </t>
  </si>
  <si>
    <t>SF6 GAS LEVEL (psi)</t>
  </si>
  <si>
    <t>OIL TEMP.
(Deg. Celsius)</t>
  </si>
  <si>
    <t>WINDING TEMP.
(Deg. Celsius)</t>
  </si>
  <si>
    <t>BATTERY</t>
  </si>
  <si>
    <t>ENERGY
(KWHr)</t>
  </si>
  <si>
    <t>VOLTAGE READING</t>
  </si>
  <si>
    <t>POWER FACTOR</t>
  </si>
  <si>
    <t>CURRENT READING
(AMPERES)</t>
  </si>
  <si>
    <t>SF6 GAS LEVEL (Bar)</t>
  </si>
  <si>
    <t>LINE-LINE VOLTAGE
(VOLTS)</t>
  </si>
  <si>
    <t>BATTERY CHARGER</t>
  </si>
  <si>
    <t>POWER CIRCUIT BREAKER</t>
  </si>
  <si>
    <t>POWER TRANSFORMER</t>
  </si>
  <si>
    <t>FEEDER 9 METER</t>
  </si>
  <si>
    <t>FEEDER 8 METER</t>
  </si>
  <si>
    <t>FEEDER 7 METER</t>
  </si>
  <si>
    <t>MAIN FEEDER METER</t>
  </si>
  <si>
    <t>TIME</t>
  </si>
  <si>
    <t>FEEDER 7</t>
  </si>
  <si>
    <t>TOPAS NABUA 10MVA SUBSTATION - DAILY OPERATIONS MONITORING REPORT</t>
  </si>
  <si>
    <t>MAIN FEEDER</t>
  </si>
  <si>
    <t>SECONDARY SIDE INTERRUPTION REPORT</t>
  </si>
  <si>
    <t>DATE:</t>
  </si>
  <si>
    <t xml:space="preserve">                                                                                            SAN ISIDRO, IRIGA CITY                                                                                                          </t>
  </si>
  <si>
    <t>TOPAS NABUA 10MVA SUBSTATION INTERRUPTION MONITORING REPORT</t>
  </si>
  <si>
    <t>CAMARINES SUR III ELECTRIC COOPERATIVE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</si>
</sst>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"/>
    <numFmt numFmtId="166" formatCode="[$-3409]dd\-mmm\-yy;@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C0C0C"/>
      <name val="Calibri"/>
      <family val="2"/>
    </font>
    <font>
      <sz val="14"/>
      <color rgb="FF0C0C0C"/>
      <name val="Calibri"/>
      <family val="2"/>
    </font>
    <font>
      <u/>
      <sz val="14"/>
      <color rgb="FF0C0C0C"/>
      <name val="Calibri"/>
      <family val="2"/>
    </font>
    <font>
      <sz val="14"/>
      <color rgb="FF000000"/>
      <name val="Calibri"/>
      <family val="2"/>
    </font>
    <font>
      <sz val="11"/>
      <color rgb="FF000000"/>
      <name val="Calibri"/>
      <family val="2"/>
    </font>
    <font>
      <sz val="12"/>
      <color rgb="FF0C0C0C"/>
      <name val="Calibri"/>
      <family val="2"/>
    </font>
    <font>
      <b/>
      <sz val="14"/>
      <color rgb="FF0C0C0C"/>
      <name val="Calibri"/>
      <family val="2"/>
    </font>
    <font>
      <b/>
      <sz val="16"/>
      <color rgb="FF0C0C0C"/>
      <name val="Calibri"/>
      <family val="2"/>
    </font>
    <font>
      <b/>
      <sz val="24"/>
      <color rgb="FF0C0C0C"/>
      <name val="Calibri"/>
      <family val="2"/>
    </font>
    <font>
      <sz val="16"/>
      <color rgb="FF0C0C0C"/>
      <name val="Calibri"/>
      <family val="2"/>
    </font>
    <font>
      <b/>
      <sz val="24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20" fontId="3" fillId="0" borderId="0" xfId="0" applyNumberFormat="1" applyFont="1"/>
    <xf numFmtId="0" fontId="3" fillId="2" borderId="0" xfId="0" applyFont="1" applyFill="1"/>
    <xf numFmtId="0" fontId="5" fillId="0" borderId="0" xfId="0" applyFont="1" applyAlignment="1">
      <alignment horizontal="right"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0" fontId="3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center"/>
    </xf>
    <xf numFmtId="0" fontId="5" fillId="0" borderId="5" xfId="0" applyFont="1" applyBorder="1" applyAlignment="1">
      <alignment horizontal="center" vertical="center"/>
    </xf>
    <xf numFmtId="2" fontId="6" fillId="0" borderId="0" xfId="1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3" fillId="3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2" fontId="3" fillId="3" borderId="2" xfId="0" applyNumberFormat="1" applyFont="1" applyFill="1" applyBorder="1" applyAlignment="1">
      <alignment horizontal="center" vertical="center"/>
    </xf>
    <xf numFmtId="2" fontId="5" fillId="3" borderId="2" xfId="0" applyNumberFormat="1" applyFont="1" applyFill="1" applyBorder="1" applyAlignment="1">
      <alignment horizontal="center" vertical="center"/>
    </xf>
    <xf numFmtId="20" fontId="3" fillId="3" borderId="2" xfId="0" applyNumberFormat="1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1" fontId="3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/>
    </xf>
    <xf numFmtId="20" fontId="5" fillId="0" borderId="3" xfId="0" applyNumberFormat="1" applyFont="1" applyBorder="1" applyAlignment="1">
      <alignment horizontal="center" vertical="center"/>
    </xf>
    <xf numFmtId="20" fontId="5" fillId="0" borderId="4" xfId="0" applyNumberFormat="1" applyFont="1" applyBorder="1" applyAlignment="1">
      <alignment horizontal="center" vertical="center"/>
    </xf>
    <xf numFmtId="20" fontId="5" fillId="0" borderId="2" xfId="0" applyNumberFormat="1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21" fontId="5" fillId="0" borderId="2" xfId="0" applyNumberFormat="1" applyFont="1" applyBorder="1" applyAlignment="1">
      <alignment horizontal="center" vertical="center"/>
    </xf>
    <xf numFmtId="21" fontId="5" fillId="0" borderId="2" xfId="0" applyNumberFormat="1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21" fontId="5" fillId="0" borderId="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" fontId="5" fillId="0" borderId="3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66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428446</xdr:colOff>
      <xdr:row>0</xdr:row>
      <xdr:rowOff>25003</xdr:rowOff>
    </xdr:from>
    <xdr:to>
      <xdr:col>9</xdr:col>
      <xdr:colOff>424664</xdr:colOff>
      <xdr:row>3</xdr:row>
      <xdr:rowOff>75344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E130A88B-3CC3-4951-891D-97595A5E563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095446" y="25003"/>
          <a:ext cx="3329968" cy="621841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4</xdr:col>
      <xdr:colOff>428446</xdr:colOff>
      <xdr:row>0</xdr:row>
      <xdr:rowOff>25003</xdr:rowOff>
    </xdr:from>
    <xdr:to>
      <xdr:col>9</xdr:col>
      <xdr:colOff>424664</xdr:colOff>
      <xdr:row>3</xdr:row>
      <xdr:rowOff>75344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15770F6A-2EE8-4D76-BCDC-A9F5DE810F3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3095446" y="25003"/>
          <a:ext cx="3329968" cy="621841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4DC00-3E09-406A-831D-B2E2F874830B}">
  <dimension ref="A1:CA49"/>
  <sheetViews>
    <sheetView tabSelected="1" zoomScale="68" zoomScaleNormal="68" workbookViewId="0">
      <selection activeCell="BF14" sqref="BF14"/>
    </sheetView>
  </sheetViews>
  <sheetFormatPr defaultColWidth="10" defaultRowHeight="15" x14ac:dyDescent="0.25"/>
  <cols>
    <col min="1" max="1" width="10" style="1"/>
    <col min="2" max="4" width="11.7109375" style="1" customWidth="1"/>
    <col min="5" max="8" width="6.7109375" style="1" customWidth="1"/>
    <col min="9" max="11" width="7.7109375" style="1" customWidth="1"/>
    <col min="12" max="12" width="11.7109375" style="1" customWidth="1"/>
    <col min="13" max="13" width="7.85546875" style="1" customWidth="1"/>
    <col min="14" max="17" width="6.7109375" style="1" customWidth="1"/>
    <col min="18" max="21" width="6.140625" style="1" customWidth="1"/>
    <col min="22" max="24" width="7.7109375" style="1" customWidth="1"/>
    <col min="25" max="25" width="12.85546875" style="1" customWidth="1"/>
    <col min="26" max="26" width="7.42578125" style="1" customWidth="1"/>
    <col min="27" max="30" width="6.7109375" style="1" customWidth="1"/>
    <col min="31" max="33" width="7.7109375" style="1" customWidth="1"/>
    <col min="34" max="37" width="10.7109375" style="1" hidden="1" customWidth="1"/>
    <col min="38" max="38" width="12.5703125" style="1" customWidth="1"/>
    <col min="39" max="39" width="8.140625" style="1" customWidth="1"/>
    <col min="40" max="43" width="6.7109375" style="1" customWidth="1"/>
    <col min="44" max="47" width="6.140625" style="1" customWidth="1"/>
    <col min="48" max="50" width="7.7109375" style="1" customWidth="1"/>
    <col min="51" max="51" width="11.7109375" style="1" customWidth="1"/>
    <col min="52" max="52" width="7.5703125" style="1" customWidth="1"/>
    <col min="53" max="54" width="9.7109375" style="1" customWidth="1"/>
    <col min="55" max="56" width="9.28515625" style="1" customWidth="1"/>
    <col min="57" max="58" width="10" style="1"/>
    <col min="59" max="59" width="15.140625" style="1" customWidth="1"/>
    <col min="60" max="60" width="15.7109375" style="1" customWidth="1"/>
    <col min="61" max="61" width="13.5703125" style="1" customWidth="1"/>
    <col min="62" max="62" width="1.42578125" style="1" customWidth="1"/>
    <col min="63" max="16384" width="10" style="1"/>
  </cols>
  <sheetData>
    <row r="1" spans="1:79" s="2" customFormat="1" ht="31.5" x14ac:dyDescent="0.3">
      <c r="A1" s="120" t="s">
        <v>60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  <c r="M1" s="120"/>
      <c r="N1" s="120"/>
      <c r="O1" s="120"/>
      <c r="P1" s="120"/>
      <c r="Q1" s="120"/>
      <c r="R1" s="120"/>
      <c r="S1" s="120"/>
      <c r="T1" s="120"/>
      <c r="U1" s="120"/>
      <c r="V1" s="120"/>
      <c r="W1" s="120"/>
      <c r="X1" s="120"/>
      <c r="Y1" s="120"/>
      <c r="Z1" s="120"/>
      <c r="AA1" s="120"/>
      <c r="AB1" s="120"/>
      <c r="AC1" s="120"/>
      <c r="AD1" s="120"/>
      <c r="AE1" s="120"/>
      <c r="AF1" s="120"/>
      <c r="AG1" s="120"/>
      <c r="AH1" s="120"/>
      <c r="AI1" s="120"/>
      <c r="AJ1" s="120"/>
      <c r="AK1" s="120"/>
      <c r="AL1" s="120"/>
      <c r="AM1" s="120"/>
      <c r="AN1" s="120"/>
      <c r="AO1" s="120"/>
      <c r="AP1" s="120"/>
      <c r="AQ1" s="120"/>
      <c r="AR1" s="120"/>
      <c r="AS1" s="120"/>
      <c r="AT1" s="120"/>
      <c r="AU1" s="120"/>
      <c r="AV1" s="120"/>
      <c r="AW1" s="120"/>
      <c r="AX1" s="120"/>
      <c r="AY1" s="120"/>
      <c r="AZ1" s="120"/>
      <c r="BA1" s="120"/>
      <c r="BB1" s="120"/>
      <c r="BC1" s="9"/>
      <c r="BF1" s="19"/>
      <c r="BG1" s="119" t="s">
        <v>59</v>
      </c>
      <c r="BH1" s="119"/>
      <c r="BI1" s="119"/>
      <c r="BJ1" s="119"/>
      <c r="BK1" s="119"/>
      <c r="BL1" s="119"/>
      <c r="BM1" s="119"/>
      <c r="BN1" s="119"/>
      <c r="BO1" s="119"/>
      <c r="BP1" s="119"/>
      <c r="BQ1" s="119"/>
      <c r="BR1" s="119"/>
      <c r="BS1" s="119"/>
      <c r="BT1" s="119"/>
      <c r="BU1" s="119"/>
      <c r="BV1" s="119"/>
      <c r="BW1" s="119"/>
      <c r="BX1" s="119"/>
      <c r="BY1" s="119"/>
      <c r="BZ1" s="119"/>
      <c r="CA1" s="119"/>
    </row>
    <row r="2" spans="1:79" s="2" customFormat="1" ht="21" x14ac:dyDescent="0.35">
      <c r="A2" s="118" t="s">
        <v>58</v>
      </c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  <c r="S2" s="118"/>
      <c r="T2" s="118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8"/>
      <c r="AI2" s="118"/>
      <c r="AJ2" s="118"/>
      <c r="AK2" s="118"/>
      <c r="AL2" s="118"/>
      <c r="AM2" s="118"/>
      <c r="AN2" s="118"/>
      <c r="AO2" s="118"/>
      <c r="AP2" s="118"/>
      <c r="AQ2" s="118"/>
      <c r="AR2" s="118"/>
      <c r="AS2" s="118"/>
      <c r="AT2" s="118"/>
      <c r="AU2" s="118"/>
      <c r="AV2" s="118"/>
      <c r="AW2" s="118"/>
      <c r="AX2" s="118"/>
      <c r="AY2" s="118"/>
      <c r="AZ2" s="118"/>
      <c r="BA2" s="118"/>
      <c r="BB2" s="118"/>
      <c r="BC2" s="9"/>
      <c r="BF2" s="19"/>
      <c r="BG2" s="116"/>
      <c r="BH2" s="116"/>
      <c r="BI2" s="116"/>
      <c r="BJ2" s="116"/>
      <c r="BK2" s="116"/>
      <c r="BL2" s="116"/>
      <c r="BM2" s="116"/>
      <c r="BN2" s="116"/>
      <c r="BO2" s="115"/>
      <c r="BP2" s="116"/>
      <c r="BQ2" s="116"/>
      <c r="BR2" s="116"/>
      <c r="BS2" s="116"/>
      <c r="BT2" s="116"/>
      <c r="BU2" s="117"/>
      <c r="BV2" s="116"/>
      <c r="BW2" s="116"/>
      <c r="BX2" s="116"/>
      <c r="BY2" s="116"/>
      <c r="BZ2" s="116"/>
      <c r="CA2" s="115"/>
    </row>
    <row r="3" spans="1:79" s="2" customFormat="1" ht="18.75" x14ac:dyDescent="0.3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  <c r="AN3" s="20"/>
      <c r="AO3" s="20"/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114" t="s">
        <v>57</v>
      </c>
      <c r="BB3" s="113"/>
      <c r="BC3" s="113"/>
      <c r="BD3" s="113"/>
      <c r="BF3" s="19"/>
      <c r="BG3" s="24" t="s">
        <v>56</v>
      </c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</row>
    <row r="4" spans="1:79" s="2" customFormat="1" ht="18.75" customHeight="1" x14ac:dyDescent="0.3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9"/>
      <c r="BF4" s="19"/>
      <c r="BG4" s="68" t="s">
        <v>16</v>
      </c>
      <c r="BH4" s="68" t="s">
        <v>15</v>
      </c>
      <c r="BI4" s="68" t="s">
        <v>14</v>
      </c>
      <c r="BJ4" s="68"/>
      <c r="BK4" s="24" t="s">
        <v>55</v>
      </c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</row>
    <row r="5" spans="1:79" s="2" customFormat="1" ht="18.75" x14ac:dyDescent="0.3">
      <c r="A5" s="2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9"/>
      <c r="BF5" s="19"/>
      <c r="BG5" s="68"/>
      <c r="BH5" s="68"/>
      <c r="BI5" s="68"/>
      <c r="BJ5" s="68"/>
      <c r="BK5" s="27" t="s">
        <v>13</v>
      </c>
      <c r="BL5" s="26"/>
      <c r="BM5" s="27" t="s">
        <v>12</v>
      </c>
      <c r="BN5" s="26"/>
      <c r="BO5" s="112" t="s">
        <v>11</v>
      </c>
      <c r="BP5" s="112"/>
      <c r="BQ5" s="25" t="s">
        <v>10</v>
      </c>
      <c r="BR5" s="25"/>
      <c r="BS5" s="24" t="s">
        <v>9</v>
      </c>
      <c r="BT5" s="24"/>
      <c r="BU5" s="24"/>
      <c r="BV5" s="24"/>
      <c r="BW5" s="24"/>
      <c r="BX5" s="24"/>
      <c r="BY5" s="24"/>
      <c r="BZ5" s="24"/>
      <c r="CA5" s="24"/>
    </row>
    <row r="6" spans="1:79" s="2" customFormat="1" ht="18.75" x14ac:dyDescent="0.3">
      <c r="A6" s="2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9"/>
      <c r="BF6" s="19"/>
      <c r="BG6" s="30"/>
      <c r="BH6" s="30"/>
      <c r="BI6" s="29"/>
      <c r="BJ6" s="28"/>
      <c r="BK6" s="29"/>
      <c r="BL6" s="28"/>
      <c r="BM6" s="27"/>
      <c r="BN6" s="26"/>
      <c r="BO6" s="27"/>
      <c r="BP6" s="26"/>
      <c r="BQ6" s="27"/>
      <c r="BR6" s="26"/>
      <c r="BS6" s="29"/>
      <c r="BT6" s="32"/>
      <c r="BU6" s="32"/>
      <c r="BV6" s="32"/>
      <c r="BW6" s="32"/>
      <c r="BX6" s="32"/>
      <c r="BY6" s="32"/>
      <c r="BZ6" s="32"/>
      <c r="CA6" s="28"/>
    </row>
    <row r="7" spans="1:79" s="2" customFormat="1" ht="31.5" customHeight="1" x14ac:dyDescent="0.3">
      <c r="A7" s="111" t="s">
        <v>54</v>
      </c>
      <c r="B7" s="111"/>
      <c r="C7" s="111"/>
      <c r="D7" s="111"/>
      <c r="E7" s="111"/>
      <c r="F7" s="111"/>
      <c r="G7" s="111"/>
      <c r="H7" s="111"/>
      <c r="I7" s="111"/>
      <c r="J7" s="111"/>
      <c r="K7" s="111"/>
      <c r="L7" s="111"/>
      <c r="M7" s="111"/>
      <c r="N7" s="111"/>
      <c r="O7" s="111"/>
      <c r="P7" s="111"/>
      <c r="Q7" s="111"/>
      <c r="R7" s="111"/>
      <c r="S7" s="111"/>
      <c r="T7" s="111"/>
      <c r="U7" s="111"/>
      <c r="V7" s="111"/>
      <c r="W7" s="111"/>
      <c r="X7" s="111"/>
      <c r="Y7" s="111"/>
      <c r="Z7" s="111"/>
      <c r="AA7" s="111"/>
      <c r="AB7" s="111"/>
      <c r="AC7" s="111"/>
      <c r="AD7" s="111"/>
      <c r="AE7" s="111"/>
      <c r="AF7" s="111"/>
      <c r="AG7" s="111"/>
      <c r="AH7" s="111"/>
      <c r="AI7" s="111"/>
      <c r="AJ7" s="111"/>
      <c r="AK7" s="111"/>
      <c r="AL7" s="111"/>
      <c r="AM7" s="111"/>
      <c r="AN7" s="111"/>
      <c r="AO7" s="111"/>
      <c r="AP7" s="111"/>
      <c r="AQ7" s="111"/>
      <c r="AR7" s="111"/>
      <c r="AS7" s="111"/>
      <c r="AT7" s="111"/>
      <c r="AU7" s="111"/>
      <c r="AV7" s="111"/>
      <c r="AW7" s="111"/>
      <c r="AX7" s="111"/>
      <c r="AY7" s="111"/>
      <c r="AZ7" s="111"/>
      <c r="BA7" s="111"/>
      <c r="BB7" s="111"/>
      <c r="BC7" s="9"/>
      <c r="BF7" s="19"/>
      <c r="BG7" s="30"/>
      <c r="BH7" s="30"/>
      <c r="BI7" s="29"/>
      <c r="BJ7" s="28"/>
      <c r="BK7" s="29"/>
      <c r="BL7" s="28"/>
      <c r="BM7" s="27"/>
      <c r="BN7" s="26"/>
      <c r="BO7" s="27"/>
      <c r="BP7" s="26"/>
      <c r="BQ7" s="27"/>
      <c r="BR7" s="26"/>
      <c r="BS7" s="29"/>
      <c r="BT7" s="32"/>
      <c r="BU7" s="32"/>
      <c r="BV7" s="32"/>
      <c r="BW7" s="32"/>
      <c r="BX7" s="32"/>
      <c r="BY7" s="32"/>
      <c r="BZ7" s="32"/>
      <c r="CA7" s="28"/>
    </row>
    <row r="8" spans="1:79" s="2" customFormat="1" ht="21" x14ac:dyDescent="0.3">
      <c r="A8" s="110"/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110"/>
      <c r="AG8" s="110"/>
      <c r="AH8" s="110"/>
      <c r="AI8" s="110"/>
      <c r="AJ8" s="110"/>
      <c r="AK8" s="110"/>
      <c r="AL8" s="110"/>
      <c r="AM8" s="110"/>
      <c r="AN8" s="110"/>
      <c r="AO8" s="110"/>
      <c r="AP8" s="110"/>
      <c r="AQ8" s="110"/>
      <c r="AR8" s="110"/>
      <c r="AS8" s="110"/>
      <c r="AT8" s="110"/>
      <c r="AU8" s="110"/>
      <c r="AV8" s="110"/>
      <c r="AW8" s="110"/>
      <c r="AX8" s="110"/>
      <c r="AY8" s="110"/>
      <c r="AZ8" s="110"/>
      <c r="BA8" s="110"/>
      <c r="BB8" s="110"/>
      <c r="BC8" s="9"/>
      <c r="BF8" s="19"/>
      <c r="BG8" s="30"/>
      <c r="BH8" s="30"/>
      <c r="BI8" s="29"/>
      <c r="BJ8" s="28"/>
      <c r="BK8" s="29"/>
      <c r="BL8" s="28"/>
      <c r="BM8" s="27"/>
      <c r="BN8" s="26"/>
      <c r="BO8" s="27"/>
      <c r="BP8" s="26"/>
      <c r="BQ8" s="27"/>
      <c r="BR8" s="26"/>
      <c r="BS8" s="29"/>
      <c r="BT8" s="32"/>
      <c r="BU8" s="32"/>
      <c r="BV8" s="32"/>
      <c r="BW8" s="32"/>
      <c r="BX8" s="32"/>
      <c r="BY8" s="32"/>
      <c r="BZ8" s="32"/>
      <c r="CA8" s="28"/>
    </row>
    <row r="9" spans="1:79" s="2" customFormat="1" ht="18.75" x14ac:dyDescent="0.3">
      <c r="A9" s="109"/>
      <c r="B9" s="109"/>
      <c r="C9" s="109"/>
      <c r="D9" s="109"/>
      <c r="E9" s="109"/>
      <c r="F9" s="109"/>
      <c r="G9" s="109"/>
      <c r="H9" s="109"/>
      <c r="I9" s="109"/>
      <c r="J9" s="109"/>
      <c r="K9" s="109"/>
      <c r="L9" s="109"/>
      <c r="M9" s="109"/>
      <c r="N9" s="109"/>
      <c r="O9" s="109"/>
      <c r="P9" s="109"/>
      <c r="Q9" s="109"/>
      <c r="R9" s="109"/>
      <c r="S9" s="109"/>
      <c r="T9" s="109"/>
      <c r="U9" s="109"/>
      <c r="V9" s="109"/>
      <c r="W9" s="109"/>
      <c r="X9" s="109"/>
      <c r="Y9" s="109"/>
      <c r="Z9" s="109"/>
      <c r="AA9" s="109"/>
      <c r="AB9" s="109"/>
      <c r="AC9" s="109"/>
      <c r="AD9" s="109"/>
      <c r="AE9" s="109"/>
      <c r="AF9" s="109"/>
      <c r="AG9" s="109"/>
      <c r="AH9" s="109"/>
      <c r="AI9" s="109"/>
      <c r="AJ9" s="109"/>
      <c r="AK9" s="109"/>
      <c r="AL9" s="109"/>
      <c r="AM9" s="109"/>
      <c r="AN9" s="109"/>
      <c r="AO9" s="109"/>
      <c r="AP9" s="109"/>
      <c r="AQ9" s="109"/>
      <c r="AR9" s="109"/>
      <c r="AS9" s="109"/>
      <c r="AT9" s="109"/>
      <c r="AU9" s="109"/>
      <c r="AV9" s="109"/>
      <c r="AW9" s="109"/>
      <c r="AX9" s="109"/>
      <c r="AY9" s="109"/>
      <c r="AZ9" s="109"/>
      <c r="BA9" s="109"/>
      <c r="BB9" s="109"/>
      <c r="BC9" s="9"/>
      <c r="BF9" s="19"/>
      <c r="BG9" s="63" t="s">
        <v>16</v>
      </c>
      <c r="BH9" s="63" t="s">
        <v>15</v>
      </c>
      <c r="BI9" s="62" t="s">
        <v>14</v>
      </c>
      <c r="BJ9" s="61"/>
      <c r="BK9" s="29" t="s">
        <v>53</v>
      </c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28"/>
    </row>
    <row r="10" spans="1:79" s="2" customFormat="1" ht="15" customHeight="1" x14ac:dyDescent="0.25">
      <c r="A10" s="73" t="s">
        <v>52</v>
      </c>
      <c r="B10" s="108" t="s">
        <v>51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6"/>
      <c r="N10" s="99" t="s">
        <v>50</v>
      </c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  <c r="AA10" s="99" t="s">
        <v>49</v>
      </c>
      <c r="AB10" s="99"/>
      <c r="AC10" s="99"/>
      <c r="AD10" s="99"/>
      <c r="AE10" s="99"/>
      <c r="AF10" s="99"/>
      <c r="AG10" s="99"/>
      <c r="AH10" s="99"/>
      <c r="AI10" s="99"/>
      <c r="AJ10" s="99"/>
      <c r="AK10" s="99"/>
      <c r="AL10" s="99"/>
      <c r="AM10" s="99" t="s">
        <v>48</v>
      </c>
      <c r="AN10" s="99"/>
      <c r="AO10" s="99"/>
      <c r="AP10" s="99"/>
      <c r="AQ10" s="99"/>
      <c r="AR10" s="99"/>
      <c r="AS10" s="99"/>
      <c r="AT10" s="99"/>
      <c r="AU10" s="99"/>
      <c r="AV10" s="99"/>
      <c r="AW10" s="99"/>
      <c r="AX10" s="99"/>
      <c r="AY10" s="99"/>
      <c r="AZ10" s="105" t="s">
        <v>47</v>
      </c>
      <c r="BA10" s="104"/>
      <c r="BB10" s="103" t="s">
        <v>46</v>
      </c>
      <c r="BC10" s="103" t="s">
        <v>45</v>
      </c>
      <c r="BD10" s="95"/>
      <c r="BF10" s="19"/>
      <c r="BG10" s="59"/>
      <c r="BH10" s="59"/>
      <c r="BI10" s="58"/>
      <c r="BJ10" s="57"/>
      <c r="BK10" s="27" t="s">
        <v>13</v>
      </c>
      <c r="BL10" s="26"/>
      <c r="BM10" s="27" t="s">
        <v>12</v>
      </c>
      <c r="BN10" s="26"/>
      <c r="BO10" s="56" t="s">
        <v>11</v>
      </c>
      <c r="BP10" s="55"/>
      <c r="BQ10" s="29" t="s">
        <v>10</v>
      </c>
      <c r="BR10" s="28"/>
      <c r="BS10" s="29" t="s">
        <v>9</v>
      </c>
      <c r="BT10" s="29"/>
      <c r="BU10" s="29"/>
      <c r="BV10" s="29"/>
      <c r="BW10" s="29"/>
      <c r="BX10" s="29"/>
      <c r="BY10" s="29"/>
      <c r="BZ10" s="29"/>
      <c r="CA10" s="29"/>
    </row>
    <row r="11" spans="1:79" s="2" customFormat="1" ht="21.75" customHeight="1" x14ac:dyDescent="0.25">
      <c r="A11" s="73"/>
      <c r="B11" s="102"/>
      <c r="C11" s="101"/>
      <c r="D11" s="101"/>
      <c r="E11" s="101"/>
      <c r="F11" s="101"/>
      <c r="G11" s="101"/>
      <c r="H11" s="101"/>
      <c r="I11" s="101"/>
      <c r="J11" s="101"/>
      <c r="K11" s="101"/>
      <c r="L11" s="101"/>
      <c r="M11" s="100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  <c r="AA11" s="99"/>
      <c r="AB11" s="99"/>
      <c r="AC11" s="99"/>
      <c r="AD11" s="99"/>
      <c r="AE11" s="99"/>
      <c r="AF11" s="99"/>
      <c r="AG11" s="99"/>
      <c r="AH11" s="99"/>
      <c r="AI11" s="99"/>
      <c r="AJ11" s="99"/>
      <c r="AK11" s="99"/>
      <c r="AL11" s="99"/>
      <c r="AM11" s="99"/>
      <c r="AN11" s="99"/>
      <c r="AO11" s="99"/>
      <c r="AP11" s="99"/>
      <c r="AQ11" s="99"/>
      <c r="AR11" s="99"/>
      <c r="AS11" s="99"/>
      <c r="AT11" s="99"/>
      <c r="AU11" s="99"/>
      <c r="AV11" s="99"/>
      <c r="AW11" s="99"/>
      <c r="AX11" s="99"/>
      <c r="AY11" s="99"/>
      <c r="AZ11" s="98"/>
      <c r="BA11" s="97"/>
      <c r="BB11" s="96"/>
      <c r="BC11" s="96"/>
      <c r="BD11" s="95"/>
      <c r="BF11" s="19"/>
      <c r="BG11" s="66"/>
      <c r="BH11" s="66"/>
      <c r="BI11" s="65"/>
      <c r="BJ11" s="24"/>
      <c r="BK11" s="29"/>
      <c r="BL11" s="28"/>
      <c r="BM11" s="29"/>
      <c r="BN11" s="28"/>
      <c r="BO11" s="29"/>
      <c r="BP11" s="28"/>
      <c r="BQ11" s="94"/>
      <c r="BR11" s="93"/>
      <c r="BS11" s="24"/>
      <c r="BT11" s="24"/>
      <c r="BU11" s="24"/>
      <c r="BV11" s="24"/>
      <c r="BW11" s="24"/>
      <c r="BX11" s="24"/>
      <c r="BY11" s="24"/>
      <c r="BZ11" s="24"/>
      <c r="CA11" s="24"/>
    </row>
    <row r="12" spans="1:79" s="2" customFormat="1" ht="18.75" customHeight="1" x14ac:dyDescent="0.25">
      <c r="A12" s="73"/>
      <c r="B12" s="70" t="s">
        <v>44</v>
      </c>
      <c r="C12" s="73"/>
      <c r="D12" s="73"/>
      <c r="E12" s="87" t="s">
        <v>42</v>
      </c>
      <c r="F12" s="86"/>
      <c r="G12" s="86"/>
      <c r="H12" s="86"/>
      <c r="I12" s="87" t="s">
        <v>40</v>
      </c>
      <c r="J12" s="86"/>
      <c r="K12" s="85"/>
      <c r="L12" s="70" t="s">
        <v>39</v>
      </c>
      <c r="M12" s="70" t="s">
        <v>43</v>
      </c>
      <c r="N12" s="87" t="s">
        <v>42</v>
      </c>
      <c r="O12" s="89"/>
      <c r="P12" s="89"/>
      <c r="Q12" s="88"/>
      <c r="R12" s="87" t="s">
        <v>41</v>
      </c>
      <c r="S12" s="86"/>
      <c r="T12" s="86"/>
      <c r="U12" s="86"/>
      <c r="V12" s="87" t="s">
        <v>40</v>
      </c>
      <c r="W12" s="86"/>
      <c r="X12" s="85"/>
      <c r="Y12" s="70" t="s">
        <v>39</v>
      </c>
      <c r="Z12" s="70" t="s">
        <v>38</v>
      </c>
      <c r="AA12" s="87" t="s">
        <v>41</v>
      </c>
      <c r="AB12" s="86"/>
      <c r="AC12" s="86"/>
      <c r="AD12" s="86"/>
      <c r="AE12" s="87" t="s">
        <v>40</v>
      </c>
      <c r="AF12" s="86"/>
      <c r="AG12" s="85"/>
      <c r="AH12" s="92" t="s">
        <v>41</v>
      </c>
      <c r="AI12" s="91"/>
      <c r="AJ12" s="91"/>
      <c r="AK12" s="90"/>
      <c r="AL12" s="70" t="s">
        <v>39</v>
      </c>
      <c r="AM12" s="70" t="s">
        <v>43</v>
      </c>
      <c r="AN12" s="87" t="s">
        <v>42</v>
      </c>
      <c r="AO12" s="89"/>
      <c r="AP12" s="89"/>
      <c r="AQ12" s="88"/>
      <c r="AR12" s="87" t="s">
        <v>41</v>
      </c>
      <c r="AS12" s="86"/>
      <c r="AT12" s="86"/>
      <c r="AU12" s="86"/>
      <c r="AV12" s="87" t="s">
        <v>40</v>
      </c>
      <c r="AW12" s="86"/>
      <c r="AX12" s="85"/>
      <c r="AY12" s="70" t="s">
        <v>39</v>
      </c>
      <c r="AZ12" s="70" t="s">
        <v>38</v>
      </c>
      <c r="BA12" s="84" t="s">
        <v>37</v>
      </c>
      <c r="BB12" s="83" t="s">
        <v>36</v>
      </c>
      <c r="BC12" s="70" t="s">
        <v>35</v>
      </c>
      <c r="BD12" s="70" t="s">
        <v>34</v>
      </c>
      <c r="BF12" s="19"/>
      <c r="BG12" s="66"/>
      <c r="BH12" s="66"/>
      <c r="BI12" s="82"/>
      <c r="BJ12" s="28"/>
      <c r="BK12" s="29"/>
      <c r="BL12" s="28"/>
      <c r="BM12" s="29"/>
      <c r="BN12" s="28"/>
      <c r="BO12" s="29"/>
      <c r="BP12" s="28"/>
      <c r="BQ12" s="29"/>
      <c r="BR12" s="28"/>
      <c r="BS12" s="81"/>
      <c r="BT12" s="7"/>
      <c r="BU12" s="7"/>
      <c r="BV12" s="7"/>
      <c r="BW12" s="14"/>
      <c r="BX12" s="14"/>
      <c r="BY12" s="14"/>
      <c r="BZ12" s="14"/>
      <c r="CA12" s="80"/>
    </row>
    <row r="13" spans="1:79" s="2" customFormat="1" ht="37.5" x14ac:dyDescent="0.25">
      <c r="A13" s="73"/>
      <c r="B13" s="45" t="s">
        <v>33</v>
      </c>
      <c r="C13" s="45" t="s">
        <v>32</v>
      </c>
      <c r="D13" s="45" t="s">
        <v>31</v>
      </c>
      <c r="E13" s="45" t="s">
        <v>29</v>
      </c>
      <c r="F13" s="45" t="s">
        <v>28</v>
      </c>
      <c r="G13" s="45" t="s">
        <v>27</v>
      </c>
      <c r="H13" s="79" t="s">
        <v>30</v>
      </c>
      <c r="I13" s="74" t="s">
        <v>25</v>
      </c>
      <c r="J13" s="74" t="s">
        <v>24</v>
      </c>
      <c r="K13" s="74" t="s">
        <v>23</v>
      </c>
      <c r="L13" s="73"/>
      <c r="M13" s="70"/>
      <c r="N13" s="78" t="s">
        <v>29</v>
      </c>
      <c r="O13" s="77" t="s">
        <v>28</v>
      </c>
      <c r="P13" s="76" t="s">
        <v>27</v>
      </c>
      <c r="Q13" s="75" t="s">
        <v>30</v>
      </c>
      <c r="R13" s="74" t="s">
        <v>29</v>
      </c>
      <c r="S13" s="74" t="s">
        <v>28</v>
      </c>
      <c r="T13" s="74" t="s">
        <v>27</v>
      </c>
      <c r="U13" s="74" t="s">
        <v>26</v>
      </c>
      <c r="V13" s="74" t="s">
        <v>25</v>
      </c>
      <c r="W13" s="74" t="s">
        <v>24</v>
      </c>
      <c r="X13" s="74" t="s">
        <v>23</v>
      </c>
      <c r="Y13" s="73"/>
      <c r="Z13" s="70"/>
      <c r="AA13" s="78" t="s">
        <v>29</v>
      </c>
      <c r="AB13" s="77" t="s">
        <v>28</v>
      </c>
      <c r="AC13" s="76" t="s">
        <v>27</v>
      </c>
      <c r="AD13" s="75" t="s">
        <v>30</v>
      </c>
      <c r="AE13" s="74" t="s">
        <v>25</v>
      </c>
      <c r="AF13" s="74" t="s">
        <v>24</v>
      </c>
      <c r="AG13" s="74" t="s">
        <v>23</v>
      </c>
      <c r="AH13" s="74" t="s">
        <v>29</v>
      </c>
      <c r="AI13" s="74" t="s">
        <v>28</v>
      </c>
      <c r="AJ13" s="74" t="s">
        <v>27</v>
      </c>
      <c r="AK13" s="74" t="s">
        <v>26</v>
      </c>
      <c r="AL13" s="73"/>
      <c r="AM13" s="70"/>
      <c r="AN13" s="78" t="s">
        <v>29</v>
      </c>
      <c r="AO13" s="77" t="s">
        <v>28</v>
      </c>
      <c r="AP13" s="76" t="s">
        <v>27</v>
      </c>
      <c r="AQ13" s="75" t="s">
        <v>30</v>
      </c>
      <c r="AR13" s="74" t="s">
        <v>29</v>
      </c>
      <c r="AS13" s="74" t="s">
        <v>28</v>
      </c>
      <c r="AT13" s="74" t="s">
        <v>27</v>
      </c>
      <c r="AU13" s="74" t="s">
        <v>26</v>
      </c>
      <c r="AV13" s="74" t="s">
        <v>25</v>
      </c>
      <c r="AW13" s="74" t="s">
        <v>24</v>
      </c>
      <c r="AX13" s="74" t="s">
        <v>23</v>
      </c>
      <c r="AY13" s="73"/>
      <c r="AZ13" s="70"/>
      <c r="BA13" s="72"/>
      <c r="BB13" s="71"/>
      <c r="BC13" s="70"/>
      <c r="BD13" s="70"/>
      <c r="BE13" s="69" t="s">
        <v>22</v>
      </c>
      <c r="BF13" s="19" t="s">
        <v>21</v>
      </c>
      <c r="BG13" s="30"/>
      <c r="BH13" s="30"/>
      <c r="BI13" s="24"/>
      <c r="BJ13" s="24"/>
      <c r="BK13" s="29"/>
      <c r="BL13" s="28"/>
      <c r="BM13" s="27"/>
      <c r="BN13" s="26"/>
      <c r="BO13" s="25"/>
      <c r="BP13" s="25"/>
      <c r="BQ13" s="25"/>
      <c r="BR13" s="25"/>
      <c r="BS13" s="24"/>
      <c r="BT13" s="24"/>
      <c r="BU13" s="24"/>
      <c r="BV13" s="24"/>
      <c r="BW13" s="24"/>
      <c r="BX13" s="24"/>
      <c r="BY13" s="24"/>
      <c r="BZ13" s="24"/>
      <c r="CA13" s="24"/>
    </row>
    <row r="14" spans="1:79" s="2" customFormat="1" ht="18.75" x14ac:dyDescent="0.25">
      <c r="A14" s="47">
        <v>4.1666666666666699E-2</v>
      </c>
      <c r="B14" s="45">
        <v>68507</v>
      </c>
      <c r="C14" s="45">
        <v>68893</v>
      </c>
      <c r="D14" s="45">
        <v>67815</v>
      </c>
      <c r="E14" s="30">
        <v>22</v>
      </c>
      <c r="F14" s="30">
        <v>18</v>
      </c>
      <c r="G14" s="30">
        <v>35</v>
      </c>
      <c r="H14" s="30">
        <v>17</v>
      </c>
      <c r="I14" s="45">
        <v>7826</v>
      </c>
      <c r="J14" s="45">
        <v>7882</v>
      </c>
      <c r="K14" s="45">
        <v>7749</v>
      </c>
      <c r="L14" s="48"/>
      <c r="M14" s="48"/>
      <c r="N14" s="30">
        <v>115</v>
      </c>
      <c r="O14" s="30">
        <v>75</v>
      </c>
      <c r="P14" s="30">
        <v>99</v>
      </c>
      <c r="Q14" s="45">
        <v>36</v>
      </c>
      <c r="R14" s="45"/>
      <c r="S14" s="45"/>
      <c r="T14" s="45"/>
      <c r="U14" s="45"/>
      <c r="V14" s="45">
        <v>7826</v>
      </c>
      <c r="W14" s="45">
        <v>7882</v>
      </c>
      <c r="X14" s="45">
        <v>7749</v>
      </c>
      <c r="Y14" s="48"/>
      <c r="Z14" s="48"/>
      <c r="AA14" s="30">
        <v>23</v>
      </c>
      <c r="AB14" s="30">
        <v>13</v>
      </c>
      <c r="AC14" s="30">
        <v>37</v>
      </c>
      <c r="AD14" s="30">
        <v>19</v>
      </c>
      <c r="AE14" s="45">
        <v>7826</v>
      </c>
      <c r="AF14" s="45">
        <v>7882</v>
      </c>
      <c r="AG14" s="45">
        <v>7749</v>
      </c>
      <c r="AH14" s="45">
        <v>7749</v>
      </c>
      <c r="AI14" s="45"/>
      <c r="AJ14" s="45"/>
      <c r="AK14" s="45"/>
      <c r="AL14" s="48"/>
      <c r="AM14" s="48"/>
      <c r="AN14" s="30">
        <v>28</v>
      </c>
      <c r="AO14" s="30">
        <v>33</v>
      </c>
      <c r="AP14" s="30">
        <v>36</v>
      </c>
      <c r="AQ14" s="45">
        <v>8</v>
      </c>
      <c r="AR14" s="45"/>
      <c r="AS14" s="45"/>
      <c r="AT14" s="45"/>
      <c r="AU14" s="45"/>
      <c r="AV14" s="45">
        <v>7826</v>
      </c>
      <c r="AW14" s="45">
        <v>7882</v>
      </c>
      <c r="AX14" s="45">
        <v>7749</v>
      </c>
      <c r="AY14" s="48"/>
      <c r="AZ14" s="48"/>
      <c r="BA14" s="48"/>
      <c r="BB14" s="48"/>
      <c r="BC14" s="48"/>
      <c r="BD14" s="48" t="s">
        <v>20</v>
      </c>
      <c r="BE14" s="34">
        <f>((SUM(N14:P14)/3))+((SUM(AA14:AC14)/3))+((SUM(AN14:AP14)/3))</f>
        <v>153</v>
      </c>
      <c r="BF14" s="33">
        <f>(BE14*1.732*13.2)</f>
        <v>3497.9471999999996</v>
      </c>
      <c r="BG14" s="30"/>
      <c r="BH14" s="30"/>
      <c r="BI14" s="24"/>
      <c r="BJ14" s="24"/>
      <c r="BK14" s="29"/>
      <c r="BL14" s="28"/>
      <c r="BM14" s="27"/>
      <c r="BN14" s="26"/>
      <c r="BO14" s="25"/>
      <c r="BP14" s="25"/>
      <c r="BQ14" s="25"/>
      <c r="BR14" s="25"/>
      <c r="BS14" s="24"/>
      <c r="BT14" s="24"/>
      <c r="BU14" s="24"/>
      <c r="BV14" s="24"/>
      <c r="BW14" s="24"/>
      <c r="BX14" s="24"/>
      <c r="BY14" s="24"/>
      <c r="BZ14" s="24"/>
      <c r="CA14" s="24"/>
    </row>
    <row r="15" spans="1:79" s="2" customFormat="1" ht="18.75" x14ac:dyDescent="0.25">
      <c r="A15" s="47">
        <v>8.3333333333333301E-2</v>
      </c>
      <c r="B15" s="45">
        <v>68302</v>
      </c>
      <c r="C15" s="45">
        <v>68533</v>
      </c>
      <c r="D15" s="45">
        <v>67565</v>
      </c>
      <c r="E15" s="30">
        <v>22</v>
      </c>
      <c r="F15" s="30">
        <v>8</v>
      </c>
      <c r="G15" s="30">
        <v>35</v>
      </c>
      <c r="H15" s="30">
        <v>19</v>
      </c>
      <c r="I15" s="45">
        <v>7805</v>
      </c>
      <c r="J15" s="45">
        <v>7847</v>
      </c>
      <c r="K15" s="45">
        <v>7714</v>
      </c>
      <c r="L15" s="42"/>
      <c r="M15" s="42"/>
      <c r="N15" s="30">
        <v>109</v>
      </c>
      <c r="O15" s="30">
        <v>70</v>
      </c>
      <c r="P15" s="30">
        <v>93</v>
      </c>
      <c r="Q15" s="45">
        <v>35</v>
      </c>
      <c r="R15" s="45"/>
      <c r="S15" s="45"/>
      <c r="T15" s="45"/>
      <c r="U15" s="45"/>
      <c r="V15" s="45">
        <v>7805</v>
      </c>
      <c r="W15" s="45">
        <v>7847</v>
      </c>
      <c r="X15" s="45">
        <v>7714</v>
      </c>
      <c r="Y15" s="42"/>
      <c r="Z15" s="42"/>
      <c r="AA15" s="30">
        <v>22</v>
      </c>
      <c r="AB15" s="30">
        <v>12</v>
      </c>
      <c r="AC15" s="30">
        <v>36</v>
      </c>
      <c r="AD15" s="45">
        <v>19</v>
      </c>
      <c r="AE15" s="45">
        <v>7805</v>
      </c>
      <c r="AF15" s="45">
        <v>7847</v>
      </c>
      <c r="AG15" s="45">
        <v>7714</v>
      </c>
      <c r="AH15" s="45"/>
      <c r="AI15" s="45"/>
      <c r="AJ15" s="45"/>
      <c r="AK15" s="45"/>
      <c r="AL15" s="42"/>
      <c r="AM15" s="42"/>
      <c r="AN15" s="30">
        <v>25</v>
      </c>
      <c r="AO15" s="30">
        <v>32</v>
      </c>
      <c r="AP15" s="30">
        <v>34</v>
      </c>
      <c r="AQ15" s="45">
        <v>9</v>
      </c>
      <c r="AR15" s="45"/>
      <c r="AS15" s="45"/>
      <c r="AT15" s="45"/>
      <c r="AU15" s="45"/>
      <c r="AV15" s="45">
        <v>7805</v>
      </c>
      <c r="AW15" s="45">
        <v>7847</v>
      </c>
      <c r="AX15" s="45">
        <v>7714</v>
      </c>
      <c r="AY15" s="42"/>
      <c r="AZ15" s="42"/>
      <c r="BA15" s="42"/>
      <c r="BB15" s="42"/>
      <c r="BC15" s="42"/>
      <c r="BD15" s="42"/>
      <c r="BE15" s="34">
        <f>((SUM(N15:P15)/3))+((SUM(AA15:AC15)/3))+((SUM(AN15:AP15)/3))</f>
        <v>144.33333333333334</v>
      </c>
      <c r="BF15" s="33">
        <f>(BE15*1.732*13.2)</f>
        <v>3299.8063999999999</v>
      </c>
      <c r="BG15" s="30"/>
      <c r="BH15" s="30"/>
      <c r="BI15" s="24"/>
      <c r="BJ15" s="24"/>
      <c r="BK15" s="29"/>
      <c r="BL15" s="28"/>
      <c r="BM15" s="27"/>
      <c r="BN15" s="26"/>
      <c r="BO15" s="25"/>
      <c r="BP15" s="25"/>
      <c r="BQ15" s="25"/>
      <c r="BR15" s="25"/>
      <c r="BS15" s="24"/>
      <c r="BT15" s="24"/>
      <c r="BU15" s="24"/>
      <c r="BV15" s="24"/>
      <c r="BW15" s="24"/>
      <c r="BX15" s="24"/>
      <c r="BY15" s="24"/>
      <c r="BZ15" s="24"/>
      <c r="CA15" s="24"/>
    </row>
    <row r="16" spans="1:79" s="2" customFormat="1" ht="18.75" x14ac:dyDescent="0.25">
      <c r="A16" s="47">
        <v>0.125</v>
      </c>
      <c r="B16" s="45">
        <v>68653</v>
      </c>
      <c r="C16" s="45">
        <v>68889</v>
      </c>
      <c r="D16" s="45">
        <v>67880</v>
      </c>
      <c r="E16" s="30">
        <v>21</v>
      </c>
      <c r="F16" s="30">
        <v>10</v>
      </c>
      <c r="G16" s="30">
        <v>33</v>
      </c>
      <c r="H16" s="30">
        <v>16</v>
      </c>
      <c r="I16" s="45">
        <v>7854</v>
      </c>
      <c r="J16" s="45">
        <v>7889</v>
      </c>
      <c r="K16" s="45">
        <v>7756</v>
      </c>
      <c r="L16" s="30">
        <v>714078</v>
      </c>
      <c r="M16" s="54">
        <v>0.41</v>
      </c>
      <c r="N16" s="30">
        <v>106</v>
      </c>
      <c r="O16" s="30">
        <v>67</v>
      </c>
      <c r="P16" s="30">
        <v>89</v>
      </c>
      <c r="Q16" s="45">
        <v>34</v>
      </c>
      <c r="R16" s="44">
        <v>0.99</v>
      </c>
      <c r="S16" s="44">
        <v>1</v>
      </c>
      <c r="T16" s="44">
        <v>1</v>
      </c>
      <c r="U16" s="44">
        <v>0.99</v>
      </c>
      <c r="V16" s="45">
        <v>7854</v>
      </c>
      <c r="W16" s="45">
        <v>7889</v>
      </c>
      <c r="X16" s="45">
        <v>7756</v>
      </c>
      <c r="Y16" s="30">
        <v>322294</v>
      </c>
      <c r="Z16" s="53">
        <v>26.5</v>
      </c>
      <c r="AA16" s="30">
        <v>21</v>
      </c>
      <c r="AB16" s="30">
        <v>13</v>
      </c>
      <c r="AC16" s="30">
        <v>35</v>
      </c>
      <c r="AD16" s="45">
        <v>18</v>
      </c>
      <c r="AE16" s="45">
        <v>7854</v>
      </c>
      <c r="AF16" s="45">
        <v>7889</v>
      </c>
      <c r="AG16" s="45">
        <v>7756</v>
      </c>
      <c r="AH16" s="44"/>
      <c r="AI16" s="44"/>
      <c r="AJ16" s="44"/>
      <c r="AK16" s="44"/>
      <c r="AL16" s="30">
        <v>726153</v>
      </c>
      <c r="AM16" s="54">
        <v>0.41</v>
      </c>
      <c r="AN16" s="30">
        <v>25</v>
      </c>
      <c r="AO16" s="30">
        <v>31</v>
      </c>
      <c r="AP16" s="30">
        <v>33</v>
      </c>
      <c r="AQ16" s="45">
        <v>8</v>
      </c>
      <c r="AR16" s="44">
        <v>0.99</v>
      </c>
      <c r="AS16" s="44">
        <v>0.99</v>
      </c>
      <c r="AT16" s="44">
        <v>0.98</v>
      </c>
      <c r="AU16" s="44">
        <v>0.98</v>
      </c>
      <c r="AV16" s="45">
        <v>7854</v>
      </c>
      <c r="AW16" s="45">
        <v>7889</v>
      </c>
      <c r="AX16" s="45">
        <v>7756</v>
      </c>
      <c r="AY16" s="30">
        <v>161744</v>
      </c>
      <c r="AZ16" s="53">
        <v>26.5</v>
      </c>
      <c r="BA16" s="30">
        <v>40</v>
      </c>
      <c r="BB16" s="30">
        <v>40</v>
      </c>
      <c r="BC16" s="30">
        <v>60</v>
      </c>
      <c r="BD16" s="30">
        <v>136</v>
      </c>
      <c r="BE16" s="34">
        <f>((SUM(N16:P16)/3))+((SUM(AA16:AC16)/3))+((SUM(AN16:AP16)/3))</f>
        <v>140</v>
      </c>
      <c r="BF16" s="33">
        <f>(BE16*1.732*13.2)</f>
        <v>3200.7359999999999</v>
      </c>
      <c r="BG16" s="68" t="s">
        <v>16</v>
      </c>
      <c r="BH16" s="68" t="s">
        <v>15</v>
      </c>
      <c r="BI16" s="68" t="s">
        <v>14</v>
      </c>
      <c r="BJ16" s="68"/>
      <c r="BK16" s="24" t="s">
        <v>19</v>
      </c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</row>
    <row r="17" spans="1:79" s="2" customFormat="1" ht="18.75" x14ac:dyDescent="0.25">
      <c r="A17" s="47">
        <v>0.16666666666666699</v>
      </c>
      <c r="B17" s="30">
        <v>68817</v>
      </c>
      <c r="C17" s="30">
        <v>69023</v>
      </c>
      <c r="D17" s="30">
        <v>68043</v>
      </c>
      <c r="E17" s="30">
        <v>20</v>
      </c>
      <c r="F17" s="30">
        <v>9</v>
      </c>
      <c r="G17" s="30">
        <v>32</v>
      </c>
      <c r="H17" s="30">
        <v>16</v>
      </c>
      <c r="I17" s="45">
        <v>7861</v>
      </c>
      <c r="J17" s="45">
        <v>7896</v>
      </c>
      <c r="K17" s="45">
        <v>7763</v>
      </c>
      <c r="L17" s="48"/>
      <c r="M17" s="48"/>
      <c r="N17" s="30">
        <v>102</v>
      </c>
      <c r="O17" s="30">
        <v>65</v>
      </c>
      <c r="P17" s="30">
        <v>86</v>
      </c>
      <c r="Q17" s="45">
        <v>33</v>
      </c>
      <c r="R17" s="44"/>
      <c r="S17" s="44"/>
      <c r="T17" s="44"/>
      <c r="U17" s="44"/>
      <c r="V17" s="45">
        <v>7861</v>
      </c>
      <c r="W17" s="45">
        <v>7896</v>
      </c>
      <c r="X17" s="45">
        <v>7763</v>
      </c>
      <c r="Y17" s="48"/>
      <c r="Z17" s="48"/>
      <c r="AA17" s="30">
        <v>21</v>
      </c>
      <c r="AB17" s="30">
        <v>12</v>
      </c>
      <c r="AC17" s="30">
        <v>34</v>
      </c>
      <c r="AD17" s="30">
        <v>18</v>
      </c>
      <c r="AE17" s="45">
        <v>7861</v>
      </c>
      <c r="AF17" s="45">
        <v>7896</v>
      </c>
      <c r="AG17" s="45">
        <v>7763</v>
      </c>
      <c r="AH17" s="45"/>
      <c r="AI17" s="45"/>
      <c r="AJ17" s="45"/>
      <c r="AK17" s="45"/>
      <c r="AL17" s="48"/>
      <c r="AM17" s="48"/>
      <c r="AN17" s="30">
        <v>26</v>
      </c>
      <c r="AO17" s="30">
        <v>31</v>
      </c>
      <c r="AP17" s="30">
        <v>32</v>
      </c>
      <c r="AQ17" s="45">
        <v>6</v>
      </c>
      <c r="AR17" s="44"/>
      <c r="AS17" s="44"/>
      <c r="AT17" s="44"/>
      <c r="AU17" s="44"/>
      <c r="AV17" s="45">
        <v>7861</v>
      </c>
      <c r="AW17" s="45">
        <v>7896</v>
      </c>
      <c r="AX17" s="45">
        <v>7763</v>
      </c>
      <c r="AY17" s="48"/>
      <c r="AZ17" s="48"/>
      <c r="BA17" s="48"/>
      <c r="BB17" s="48"/>
      <c r="BC17" s="48"/>
      <c r="BD17" s="48"/>
      <c r="BE17" s="34">
        <f>((SUM(N17:P17)/3))+((SUM(AA17:AC17)/3))+((SUM(AN17:AP17)/3))</f>
        <v>136.33333333333331</v>
      </c>
      <c r="BF17" s="33">
        <f>(BE17*1.732*13.2)</f>
        <v>3116.9071999999996</v>
      </c>
      <c r="BG17" s="68"/>
      <c r="BH17" s="68"/>
      <c r="BI17" s="68"/>
      <c r="BJ17" s="68"/>
      <c r="BK17" s="27" t="s">
        <v>13</v>
      </c>
      <c r="BL17" s="26"/>
      <c r="BM17" s="27" t="s">
        <v>12</v>
      </c>
      <c r="BN17" s="26"/>
      <c r="BO17" s="67" t="s">
        <v>11</v>
      </c>
      <c r="BP17" s="67"/>
      <c r="BQ17" s="24" t="s">
        <v>10</v>
      </c>
      <c r="BR17" s="24"/>
      <c r="BS17" s="24" t="s">
        <v>9</v>
      </c>
      <c r="BT17" s="24"/>
      <c r="BU17" s="24"/>
      <c r="BV17" s="24"/>
      <c r="BW17" s="24"/>
      <c r="BX17" s="24"/>
      <c r="BY17" s="24"/>
      <c r="BZ17" s="24"/>
      <c r="CA17" s="24"/>
    </row>
    <row r="18" spans="1:79" s="2" customFormat="1" ht="18.75" customHeight="1" x14ac:dyDescent="0.25">
      <c r="A18" s="47">
        <v>0.20833333333333301</v>
      </c>
      <c r="B18" s="30">
        <v>68563</v>
      </c>
      <c r="C18" s="30">
        <v>68701</v>
      </c>
      <c r="D18" s="30">
        <v>67705</v>
      </c>
      <c r="E18" s="30">
        <v>21</v>
      </c>
      <c r="F18" s="30">
        <v>10</v>
      </c>
      <c r="G18" s="30">
        <v>32</v>
      </c>
      <c r="H18" s="30">
        <v>15</v>
      </c>
      <c r="I18" s="45">
        <v>7833</v>
      </c>
      <c r="J18" s="45">
        <v>7854</v>
      </c>
      <c r="K18" s="45">
        <v>7728</v>
      </c>
      <c r="L18" s="42"/>
      <c r="M18" s="42"/>
      <c r="N18" s="30">
        <v>104</v>
      </c>
      <c r="O18" s="30">
        <v>63</v>
      </c>
      <c r="P18" s="30">
        <v>87</v>
      </c>
      <c r="Q18" s="45">
        <v>37</v>
      </c>
      <c r="R18" s="44"/>
      <c r="S18" s="44"/>
      <c r="T18" s="44"/>
      <c r="U18" s="44"/>
      <c r="V18" s="45">
        <v>7833</v>
      </c>
      <c r="W18" s="45">
        <v>7854</v>
      </c>
      <c r="X18" s="45">
        <v>7728</v>
      </c>
      <c r="Y18" s="42"/>
      <c r="Z18" s="42"/>
      <c r="AA18" s="30">
        <v>22</v>
      </c>
      <c r="AB18" s="30">
        <v>12</v>
      </c>
      <c r="AC18" s="30">
        <v>35</v>
      </c>
      <c r="AD18" s="30">
        <v>18</v>
      </c>
      <c r="AE18" s="45">
        <v>7833</v>
      </c>
      <c r="AF18" s="45">
        <v>7854</v>
      </c>
      <c r="AG18" s="45">
        <v>7728</v>
      </c>
      <c r="AH18" s="45"/>
      <c r="AI18" s="45"/>
      <c r="AJ18" s="45"/>
      <c r="AK18" s="45"/>
      <c r="AL18" s="42"/>
      <c r="AM18" s="42"/>
      <c r="AN18" s="30">
        <v>27</v>
      </c>
      <c r="AO18" s="30">
        <v>31</v>
      </c>
      <c r="AP18" s="30">
        <v>32</v>
      </c>
      <c r="AQ18" s="45">
        <v>6</v>
      </c>
      <c r="AR18" s="44"/>
      <c r="AS18" s="44"/>
      <c r="AT18" s="44"/>
      <c r="AU18" s="44"/>
      <c r="AV18" s="45">
        <v>7833</v>
      </c>
      <c r="AW18" s="45">
        <v>7854</v>
      </c>
      <c r="AX18" s="45">
        <v>7728</v>
      </c>
      <c r="AY18" s="42"/>
      <c r="AZ18" s="42"/>
      <c r="BA18" s="42"/>
      <c r="BB18" s="42"/>
      <c r="BC18" s="42"/>
      <c r="BD18" s="42"/>
      <c r="BE18" s="34">
        <f>((SUM(N18:P18)/3))+((SUM(AA18:AC18)/3))+((SUM(AN18:AP18)/3))</f>
        <v>137.66666666666669</v>
      </c>
      <c r="BF18" s="33">
        <f>(BE18*1.732*13.2)</f>
        <v>3147.3904000000002</v>
      </c>
      <c r="BG18" s="66"/>
      <c r="BH18" s="66"/>
      <c r="BI18" s="65"/>
      <c r="BJ18" s="24"/>
      <c r="BK18" s="29"/>
      <c r="BL18" s="28"/>
      <c r="BM18" s="29"/>
      <c r="BN18" s="28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</row>
    <row r="19" spans="1:79" s="2" customFormat="1" ht="18.75" x14ac:dyDescent="0.25">
      <c r="A19" s="41">
        <v>0.25</v>
      </c>
      <c r="B19" s="37">
        <v>69040</v>
      </c>
      <c r="C19" s="37">
        <v>69391</v>
      </c>
      <c r="D19" s="37">
        <v>68321</v>
      </c>
      <c r="E19" s="37">
        <v>21</v>
      </c>
      <c r="F19" s="37">
        <v>11</v>
      </c>
      <c r="G19" s="37">
        <v>37</v>
      </c>
      <c r="H19" s="37">
        <v>21</v>
      </c>
      <c r="I19" s="35">
        <v>7889</v>
      </c>
      <c r="J19" s="35">
        <v>7938</v>
      </c>
      <c r="K19" s="35">
        <v>7798</v>
      </c>
      <c r="L19" s="37">
        <v>714837</v>
      </c>
      <c r="M19" s="40">
        <v>0.41</v>
      </c>
      <c r="N19" s="37">
        <v>104</v>
      </c>
      <c r="O19" s="37">
        <v>67</v>
      </c>
      <c r="P19" s="37">
        <v>93</v>
      </c>
      <c r="Q19" s="35">
        <v>35</v>
      </c>
      <c r="R19" s="39">
        <v>1</v>
      </c>
      <c r="S19" s="39">
        <v>0.99</v>
      </c>
      <c r="T19" s="39">
        <v>1</v>
      </c>
      <c r="U19" s="39">
        <v>1</v>
      </c>
      <c r="V19" s="35">
        <v>7889</v>
      </c>
      <c r="W19" s="35">
        <v>7938</v>
      </c>
      <c r="X19" s="35">
        <v>7798</v>
      </c>
      <c r="Y19" s="37">
        <v>328363</v>
      </c>
      <c r="Z19" s="36">
        <v>26.5</v>
      </c>
      <c r="AA19" s="37">
        <v>24</v>
      </c>
      <c r="AB19" s="37">
        <v>12</v>
      </c>
      <c r="AC19" s="37">
        <v>38</v>
      </c>
      <c r="AD19" s="35">
        <v>22</v>
      </c>
      <c r="AE19" s="35">
        <v>7889</v>
      </c>
      <c r="AF19" s="35">
        <v>7938</v>
      </c>
      <c r="AG19" s="35">
        <v>7798</v>
      </c>
      <c r="AH19" s="39"/>
      <c r="AI19" s="39"/>
      <c r="AJ19" s="39"/>
      <c r="AK19" s="39"/>
      <c r="AL19" s="37">
        <v>727812</v>
      </c>
      <c r="AM19" s="40">
        <v>0.41</v>
      </c>
      <c r="AN19" s="37">
        <v>30</v>
      </c>
      <c r="AO19" s="37">
        <v>34</v>
      </c>
      <c r="AP19" s="37">
        <v>33</v>
      </c>
      <c r="AQ19" s="35">
        <v>4</v>
      </c>
      <c r="AR19" s="39">
        <v>0.98</v>
      </c>
      <c r="AS19" s="39">
        <v>0.99</v>
      </c>
      <c r="AT19" s="39">
        <v>0.98</v>
      </c>
      <c r="AU19" s="39">
        <v>0.98</v>
      </c>
      <c r="AV19" s="35">
        <v>7889</v>
      </c>
      <c r="AW19" s="35">
        <v>7938</v>
      </c>
      <c r="AX19" s="35">
        <v>7798</v>
      </c>
      <c r="AY19" s="37">
        <v>163848</v>
      </c>
      <c r="AZ19" s="36">
        <v>26.5</v>
      </c>
      <c r="BA19" s="37">
        <v>42</v>
      </c>
      <c r="BB19" s="37">
        <v>42</v>
      </c>
      <c r="BC19" s="37">
        <v>60</v>
      </c>
      <c r="BD19" s="37">
        <v>136</v>
      </c>
      <c r="BE19" s="34">
        <f>((SUM(N19:P19)/3))+((SUM(AA19:AC19)/3))+((SUM(AN19:AP19)/3))</f>
        <v>145</v>
      </c>
      <c r="BF19" s="33">
        <f>(BE19*1.732*13.2)</f>
        <v>3315.0479999999998</v>
      </c>
      <c r="BG19" s="66"/>
      <c r="BH19" s="66"/>
      <c r="BI19" s="65"/>
      <c r="BJ19" s="24"/>
      <c r="BK19" s="29"/>
      <c r="BL19" s="28"/>
      <c r="BM19" s="29"/>
      <c r="BN19" s="28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</row>
    <row r="20" spans="1:79" s="2" customFormat="1" ht="18.75" x14ac:dyDescent="0.25">
      <c r="A20" s="47">
        <v>0.29166666666666702</v>
      </c>
      <c r="B20" s="30">
        <v>68757</v>
      </c>
      <c r="C20" s="30">
        <v>69195</v>
      </c>
      <c r="D20" s="30">
        <v>68071</v>
      </c>
      <c r="E20" s="30">
        <v>21</v>
      </c>
      <c r="F20" s="30">
        <v>13</v>
      </c>
      <c r="G20" s="30">
        <v>35</v>
      </c>
      <c r="H20" s="30">
        <v>19</v>
      </c>
      <c r="I20" s="45">
        <v>7854</v>
      </c>
      <c r="J20" s="45">
        <v>7903</v>
      </c>
      <c r="K20" s="45">
        <v>7763</v>
      </c>
      <c r="L20" s="48"/>
      <c r="M20" s="48"/>
      <c r="N20" s="30">
        <v>98</v>
      </c>
      <c r="O20" s="30">
        <v>66</v>
      </c>
      <c r="P20" s="30">
        <v>86</v>
      </c>
      <c r="Q20" s="45">
        <v>30</v>
      </c>
      <c r="R20" s="45"/>
      <c r="S20" s="45"/>
      <c r="T20" s="45"/>
      <c r="U20" s="45"/>
      <c r="V20" s="45">
        <v>7854</v>
      </c>
      <c r="W20" s="45">
        <v>7903</v>
      </c>
      <c r="X20" s="45">
        <v>7763</v>
      </c>
      <c r="Y20" s="48"/>
      <c r="Z20" s="48"/>
      <c r="AA20" s="30">
        <v>23</v>
      </c>
      <c r="AB20" s="30">
        <v>13</v>
      </c>
      <c r="AC20" s="30">
        <v>36</v>
      </c>
      <c r="AD20" s="45">
        <v>19</v>
      </c>
      <c r="AE20" s="45">
        <v>7854</v>
      </c>
      <c r="AF20" s="45">
        <v>7903</v>
      </c>
      <c r="AG20" s="45">
        <v>7763</v>
      </c>
      <c r="AH20" s="45"/>
      <c r="AI20" s="45"/>
      <c r="AJ20" s="45"/>
      <c r="AK20" s="45"/>
      <c r="AL20" s="48"/>
      <c r="AM20" s="48"/>
      <c r="AN20" s="30">
        <v>24</v>
      </c>
      <c r="AO20" s="30">
        <v>34</v>
      </c>
      <c r="AP20" s="30">
        <v>29</v>
      </c>
      <c r="AQ20" s="45">
        <v>8</v>
      </c>
      <c r="AR20" s="45"/>
      <c r="AS20" s="45"/>
      <c r="AT20" s="45"/>
      <c r="AU20" s="45"/>
      <c r="AV20" s="45">
        <v>7854</v>
      </c>
      <c r="AW20" s="45">
        <v>7903</v>
      </c>
      <c r="AX20" s="45">
        <v>7763</v>
      </c>
      <c r="AY20" s="48"/>
      <c r="AZ20" s="48"/>
      <c r="BA20" s="48"/>
      <c r="BB20" s="48"/>
      <c r="BC20" s="48"/>
      <c r="BD20" s="48"/>
      <c r="BE20" s="34">
        <f>((SUM(N20:P20)/3))+((SUM(AA20:AC20)/3))+((SUM(AN20:AP20)/3))</f>
        <v>136.33333333333331</v>
      </c>
      <c r="BF20" s="33">
        <f>(BE20*1.732*13.2)</f>
        <v>3116.9071999999996</v>
      </c>
      <c r="BG20" s="66"/>
      <c r="BH20" s="66"/>
      <c r="BI20" s="65"/>
      <c r="BJ20" s="24"/>
      <c r="BK20" s="29"/>
      <c r="BL20" s="28"/>
      <c r="BM20" s="29"/>
      <c r="BN20" s="28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</row>
    <row r="21" spans="1:79" s="2" customFormat="1" ht="18.75" x14ac:dyDescent="0.25">
      <c r="A21" s="47">
        <v>0.33333333333333298</v>
      </c>
      <c r="B21" s="45">
        <v>68387</v>
      </c>
      <c r="C21" s="45">
        <v>68819</v>
      </c>
      <c r="D21" s="45">
        <v>67694</v>
      </c>
      <c r="E21" s="45">
        <v>22</v>
      </c>
      <c r="F21" s="45">
        <v>13</v>
      </c>
      <c r="G21" s="45">
        <v>33</v>
      </c>
      <c r="H21" s="45">
        <v>16</v>
      </c>
      <c r="I21" s="45">
        <v>7805</v>
      </c>
      <c r="J21" s="45">
        <v>7875</v>
      </c>
      <c r="K21" s="45">
        <v>7721</v>
      </c>
      <c r="L21" s="42"/>
      <c r="M21" s="42"/>
      <c r="N21" s="30">
        <v>94</v>
      </c>
      <c r="O21" s="30">
        <v>61</v>
      </c>
      <c r="P21" s="30">
        <v>85</v>
      </c>
      <c r="Q21" s="45">
        <v>31</v>
      </c>
      <c r="R21" s="45"/>
      <c r="S21" s="45"/>
      <c r="T21" s="45"/>
      <c r="U21" s="45"/>
      <c r="V21" s="45">
        <v>7805</v>
      </c>
      <c r="W21" s="45">
        <v>7875</v>
      </c>
      <c r="X21" s="45">
        <v>7721</v>
      </c>
      <c r="Y21" s="42"/>
      <c r="Z21" s="42"/>
      <c r="AA21" s="45">
        <v>24</v>
      </c>
      <c r="AB21" s="45">
        <v>14</v>
      </c>
      <c r="AC21" s="45">
        <v>35</v>
      </c>
      <c r="AD21" s="45">
        <v>18</v>
      </c>
      <c r="AE21" s="45">
        <v>7805</v>
      </c>
      <c r="AF21" s="45">
        <v>7875</v>
      </c>
      <c r="AG21" s="45">
        <v>7721</v>
      </c>
      <c r="AH21" s="45"/>
      <c r="AI21" s="45"/>
      <c r="AJ21" s="45"/>
      <c r="AK21" s="45"/>
      <c r="AL21" s="42"/>
      <c r="AM21" s="42"/>
      <c r="AN21" s="45">
        <v>25</v>
      </c>
      <c r="AO21" s="45">
        <v>32</v>
      </c>
      <c r="AP21" s="45">
        <v>29</v>
      </c>
      <c r="AQ21" s="45">
        <v>6</v>
      </c>
      <c r="AR21" s="45"/>
      <c r="AS21" s="45"/>
      <c r="AT21" s="45"/>
      <c r="AU21" s="45"/>
      <c r="AV21" s="45">
        <v>7805</v>
      </c>
      <c r="AW21" s="45">
        <v>7875</v>
      </c>
      <c r="AX21" s="45">
        <v>7721</v>
      </c>
      <c r="AY21" s="42"/>
      <c r="AZ21" s="42"/>
      <c r="BA21" s="42"/>
      <c r="BB21" s="42"/>
      <c r="BC21" s="42"/>
      <c r="BD21" s="42"/>
      <c r="BE21" s="34">
        <f>((SUM(N21:P21)/3))+((SUM(AA21:AC21)/3))+((SUM(AN21:AP21)/3))</f>
        <v>133</v>
      </c>
      <c r="BF21" s="33">
        <f>(BE21*1.732*13.2)</f>
        <v>3040.6991999999996</v>
      </c>
      <c r="BG21" s="30"/>
      <c r="BH21" s="30"/>
      <c r="BI21" s="24"/>
      <c r="BJ21" s="24"/>
      <c r="BK21" s="29"/>
      <c r="BL21" s="28"/>
      <c r="BM21" s="27"/>
      <c r="BN21" s="26"/>
      <c r="BO21" s="25"/>
      <c r="BP21" s="25"/>
      <c r="BQ21" s="25"/>
      <c r="BR21" s="25"/>
      <c r="BS21" s="29"/>
      <c r="BT21" s="32"/>
      <c r="BU21" s="32"/>
      <c r="BV21" s="32"/>
      <c r="BW21" s="32"/>
      <c r="BX21" s="32"/>
      <c r="BY21" s="32"/>
      <c r="BZ21" s="32"/>
      <c r="CA21" s="28"/>
    </row>
    <row r="22" spans="1:79" s="2" customFormat="1" ht="18.75" x14ac:dyDescent="0.25">
      <c r="A22" s="47">
        <v>0.375</v>
      </c>
      <c r="B22" s="45">
        <v>67470</v>
      </c>
      <c r="C22" s="45">
        <v>67795</v>
      </c>
      <c r="D22" s="45">
        <v>66669</v>
      </c>
      <c r="E22" s="45">
        <v>25</v>
      </c>
      <c r="F22" s="45">
        <v>13</v>
      </c>
      <c r="G22" s="45">
        <v>35</v>
      </c>
      <c r="H22" s="45">
        <v>17</v>
      </c>
      <c r="I22" s="43">
        <v>7738</v>
      </c>
      <c r="J22" s="43">
        <v>7710</v>
      </c>
      <c r="K22" s="43">
        <v>7615</v>
      </c>
      <c r="L22" s="30">
        <v>715592</v>
      </c>
      <c r="M22" s="54">
        <v>0.41</v>
      </c>
      <c r="N22" s="45">
        <v>105</v>
      </c>
      <c r="O22" s="45">
        <v>69</v>
      </c>
      <c r="P22" s="45">
        <v>95</v>
      </c>
      <c r="Q22" s="45">
        <v>35</v>
      </c>
      <c r="R22" s="44">
        <v>1</v>
      </c>
      <c r="S22" s="44">
        <v>1</v>
      </c>
      <c r="T22" s="44">
        <v>1</v>
      </c>
      <c r="U22" s="44">
        <v>1</v>
      </c>
      <c r="V22" s="43">
        <v>7609</v>
      </c>
      <c r="W22" s="43">
        <v>7658</v>
      </c>
      <c r="X22" s="43">
        <v>7518</v>
      </c>
      <c r="Y22" s="30">
        <v>334256</v>
      </c>
      <c r="Z22" s="53">
        <v>26.5</v>
      </c>
      <c r="AA22" s="45">
        <v>26</v>
      </c>
      <c r="AB22" s="45">
        <v>14</v>
      </c>
      <c r="AC22" s="45">
        <v>38</v>
      </c>
      <c r="AD22" s="45">
        <v>19</v>
      </c>
      <c r="AE22" s="43">
        <v>7602</v>
      </c>
      <c r="AF22" s="43">
        <v>7658</v>
      </c>
      <c r="AG22" s="43">
        <v>7511</v>
      </c>
      <c r="AH22" s="45"/>
      <c r="AI22" s="45"/>
      <c r="AJ22" s="45"/>
      <c r="AK22" s="45"/>
      <c r="AL22" s="30">
        <v>729501</v>
      </c>
      <c r="AM22" s="54">
        <v>0.41</v>
      </c>
      <c r="AN22" s="45">
        <v>27</v>
      </c>
      <c r="AO22" s="45">
        <v>33</v>
      </c>
      <c r="AP22" s="45">
        <v>32</v>
      </c>
      <c r="AQ22" s="45">
        <v>5</v>
      </c>
      <c r="AR22" s="44">
        <v>0.99</v>
      </c>
      <c r="AS22" s="44">
        <v>0.99</v>
      </c>
      <c r="AT22" s="44">
        <v>0.98</v>
      </c>
      <c r="AU22" s="44">
        <v>0.99</v>
      </c>
      <c r="AV22" s="43">
        <v>7609</v>
      </c>
      <c r="AW22" s="43">
        <v>7658</v>
      </c>
      <c r="AX22" s="43">
        <v>7511</v>
      </c>
      <c r="AY22" s="30">
        <v>165918</v>
      </c>
      <c r="AZ22" s="53">
        <v>26.5</v>
      </c>
      <c r="BA22" s="30">
        <v>46</v>
      </c>
      <c r="BB22" s="30">
        <v>44</v>
      </c>
      <c r="BC22" s="30">
        <v>60</v>
      </c>
      <c r="BD22" s="30">
        <v>136</v>
      </c>
      <c r="BE22" s="34">
        <f>((SUM(N22:P22)/3))+((SUM(AA22:AC22)/3))+((SUM(AN22:AP22)/3))</f>
        <v>146.33333333333334</v>
      </c>
      <c r="BF22" s="33">
        <f>(BE22*1.732*13.2)</f>
        <v>3345.5312000000004</v>
      </c>
      <c r="BG22" s="30"/>
      <c r="BH22" s="30"/>
      <c r="BI22" s="24"/>
      <c r="BJ22" s="24"/>
      <c r="BK22" s="29"/>
      <c r="BL22" s="28"/>
      <c r="BM22" s="27"/>
      <c r="BN22" s="26"/>
      <c r="BO22" s="25"/>
      <c r="BP22" s="25"/>
      <c r="BQ22" s="25"/>
      <c r="BR22" s="25"/>
      <c r="BS22" s="24"/>
      <c r="BT22" s="24"/>
      <c r="BU22" s="24"/>
      <c r="BV22" s="24"/>
      <c r="BW22" s="24"/>
      <c r="BX22" s="24"/>
      <c r="BY22" s="24"/>
      <c r="BZ22" s="24"/>
      <c r="CA22" s="24"/>
    </row>
    <row r="23" spans="1:79" s="2" customFormat="1" ht="18.75" x14ac:dyDescent="0.25">
      <c r="A23" s="47">
        <v>0.41666666666666702</v>
      </c>
      <c r="B23" s="45">
        <v>67724</v>
      </c>
      <c r="C23" s="45">
        <v>68167</v>
      </c>
      <c r="D23" s="45">
        <v>66951</v>
      </c>
      <c r="E23" s="45">
        <v>26</v>
      </c>
      <c r="F23" s="45">
        <v>14</v>
      </c>
      <c r="G23" s="45">
        <v>39</v>
      </c>
      <c r="H23" s="45">
        <v>21</v>
      </c>
      <c r="I23" s="43">
        <v>7721</v>
      </c>
      <c r="J23" s="43">
        <v>7784</v>
      </c>
      <c r="K23" s="43">
        <v>7630</v>
      </c>
      <c r="L23" s="48"/>
      <c r="M23" s="48"/>
      <c r="N23" s="45">
        <v>113</v>
      </c>
      <c r="O23" s="45">
        <v>74</v>
      </c>
      <c r="P23" s="45">
        <v>99</v>
      </c>
      <c r="Q23" s="45">
        <v>36</v>
      </c>
      <c r="R23" s="44"/>
      <c r="S23" s="44"/>
      <c r="T23" s="44"/>
      <c r="U23" s="44"/>
      <c r="V23" s="43">
        <v>7630</v>
      </c>
      <c r="W23" s="43">
        <v>7700</v>
      </c>
      <c r="X23" s="43">
        <v>7539</v>
      </c>
      <c r="Y23" s="48"/>
      <c r="Z23" s="48"/>
      <c r="AA23" s="45">
        <v>28</v>
      </c>
      <c r="AB23" s="45">
        <v>14</v>
      </c>
      <c r="AC23" s="45">
        <v>42</v>
      </c>
      <c r="AD23" s="45">
        <v>23</v>
      </c>
      <c r="AE23" s="43">
        <v>7630</v>
      </c>
      <c r="AF23" s="43">
        <v>7658</v>
      </c>
      <c r="AG23" s="43">
        <v>7539</v>
      </c>
      <c r="AH23" s="45"/>
      <c r="AI23" s="45"/>
      <c r="AJ23" s="45"/>
      <c r="AK23" s="45"/>
      <c r="AL23" s="48"/>
      <c r="AM23" s="48"/>
      <c r="AN23" s="45">
        <v>30</v>
      </c>
      <c r="AO23" s="45">
        <v>37</v>
      </c>
      <c r="AP23" s="45">
        <v>36</v>
      </c>
      <c r="AQ23" s="45">
        <v>6</v>
      </c>
      <c r="AR23" s="44"/>
      <c r="AS23" s="44"/>
      <c r="AT23" s="44"/>
      <c r="AU23" s="44"/>
      <c r="AV23" s="43">
        <v>7630</v>
      </c>
      <c r="AW23" s="43">
        <v>7686</v>
      </c>
      <c r="AX23" s="43">
        <v>7539</v>
      </c>
      <c r="AY23" s="48"/>
      <c r="AZ23" s="48"/>
      <c r="BA23" s="48"/>
      <c r="BB23" s="48"/>
      <c r="BC23" s="48"/>
      <c r="BD23" s="48"/>
      <c r="BE23" s="34">
        <f>((SUM(N23:P23)/3))+((SUM(AA23:AC23)/3))+((SUM(AN23:AP23)/3))</f>
        <v>157.66666666666666</v>
      </c>
      <c r="BF23" s="33">
        <f>(BE23*1.732*13.2)</f>
        <v>3604.6383999999998</v>
      </c>
      <c r="BG23" s="68" t="s">
        <v>16</v>
      </c>
      <c r="BH23" s="68" t="s">
        <v>15</v>
      </c>
      <c r="BI23" s="68" t="s">
        <v>14</v>
      </c>
      <c r="BJ23" s="68"/>
      <c r="BK23" s="24" t="s">
        <v>18</v>
      </c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</row>
    <row r="24" spans="1:79" s="2" customFormat="1" ht="18.75" x14ac:dyDescent="0.25">
      <c r="A24" s="47">
        <v>0.45833333333333298</v>
      </c>
      <c r="B24" s="45">
        <v>67694</v>
      </c>
      <c r="C24" s="45">
        <v>68229</v>
      </c>
      <c r="D24" s="45">
        <v>66986</v>
      </c>
      <c r="E24" s="45">
        <v>27</v>
      </c>
      <c r="F24" s="45">
        <v>15</v>
      </c>
      <c r="G24" s="45">
        <v>39</v>
      </c>
      <c r="H24" s="45">
        <v>17</v>
      </c>
      <c r="I24" s="43">
        <v>7719</v>
      </c>
      <c r="J24" s="43">
        <v>7791</v>
      </c>
      <c r="K24" s="43">
        <v>7630</v>
      </c>
      <c r="L24" s="42"/>
      <c r="M24" s="42"/>
      <c r="N24" s="45">
        <v>122</v>
      </c>
      <c r="O24" s="45">
        <v>77</v>
      </c>
      <c r="P24" s="45">
        <v>109</v>
      </c>
      <c r="Q24" s="45">
        <v>42</v>
      </c>
      <c r="R24" s="44"/>
      <c r="S24" s="44"/>
      <c r="T24" s="44"/>
      <c r="U24" s="44"/>
      <c r="V24" s="43">
        <v>7630</v>
      </c>
      <c r="W24" s="43">
        <v>7714</v>
      </c>
      <c r="X24" s="43">
        <v>7546</v>
      </c>
      <c r="Y24" s="42"/>
      <c r="Z24" s="42"/>
      <c r="AA24" s="45">
        <v>27</v>
      </c>
      <c r="AB24" s="45">
        <v>16</v>
      </c>
      <c r="AC24" s="45">
        <v>41</v>
      </c>
      <c r="AD24" s="45">
        <v>20</v>
      </c>
      <c r="AE24" s="43">
        <v>7637</v>
      </c>
      <c r="AF24" s="43">
        <v>7707</v>
      </c>
      <c r="AG24" s="43">
        <v>7546</v>
      </c>
      <c r="AH24" s="45"/>
      <c r="AI24" s="45"/>
      <c r="AJ24" s="45"/>
      <c r="AK24" s="45"/>
      <c r="AL24" s="42"/>
      <c r="AM24" s="42"/>
      <c r="AN24" s="45">
        <v>32</v>
      </c>
      <c r="AO24" s="45">
        <v>36</v>
      </c>
      <c r="AP24" s="45">
        <v>37</v>
      </c>
      <c r="AQ24" s="45">
        <v>4</v>
      </c>
      <c r="AR24" s="44"/>
      <c r="AS24" s="44"/>
      <c r="AT24" s="44"/>
      <c r="AU24" s="44"/>
      <c r="AV24" s="43">
        <v>7630</v>
      </c>
      <c r="AW24" s="43">
        <v>7707</v>
      </c>
      <c r="AX24" s="43">
        <v>7546</v>
      </c>
      <c r="AY24" s="42"/>
      <c r="AZ24" s="42"/>
      <c r="BA24" s="42"/>
      <c r="BB24" s="42"/>
      <c r="BC24" s="42"/>
      <c r="BD24" s="42"/>
      <c r="BE24" s="34">
        <f>((SUM(N24:P24)/3))+((SUM(AA24:AC24)/3))+((SUM(AN24:AP24)/3))</f>
        <v>165.66666666666669</v>
      </c>
      <c r="BF24" s="33">
        <f>(BE24*1.732*13.2)</f>
        <v>3787.5376000000006</v>
      </c>
      <c r="BG24" s="68"/>
      <c r="BH24" s="68"/>
      <c r="BI24" s="68"/>
      <c r="BJ24" s="68"/>
      <c r="BK24" s="27" t="s">
        <v>13</v>
      </c>
      <c r="BL24" s="26"/>
      <c r="BM24" s="27" t="s">
        <v>12</v>
      </c>
      <c r="BN24" s="26"/>
      <c r="BO24" s="67" t="s">
        <v>11</v>
      </c>
      <c r="BP24" s="67"/>
      <c r="BQ24" s="24" t="s">
        <v>10</v>
      </c>
      <c r="BR24" s="24"/>
      <c r="BS24" s="24" t="s">
        <v>9</v>
      </c>
      <c r="BT24" s="24"/>
      <c r="BU24" s="24"/>
      <c r="BV24" s="24"/>
      <c r="BW24" s="24"/>
      <c r="BX24" s="24"/>
      <c r="BY24" s="24"/>
      <c r="BZ24" s="24"/>
      <c r="CA24" s="24"/>
    </row>
    <row r="25" spans="1:79" s="2" customFormat="1" ht="18.75" customHeight="1" x14ac:dyDescent="0.25">
      <c r="A25" s="41">
        <v>0.5</v>
      </c>
      <c r="B25" s="35">
        <v>68146</v>
      </c>
      <c r="C25" s="35">
        <v>68687</v>
      </c>
      <c r="D25" s="35">
        <v>67497</v>
      </c>
      <c r="E25" s="35">
        <v>25</v>
      </c>
      <c r="F25" s="35">
        <v>15</v>
      </c>
      <c r="G25" s="35">
        <v>38</v>
      </c>
      <c r="H25" s="35">
        <v>17</v>
      </c>
      <c r="I25" s="35">
        <v>7777</v>
      </c>
      <c r="J25" s="35">
        <v>7854</v>
      </c>
      <c r="K25" s="35">
        <v>7686</v>
      </c>
      <c r="L25" s="37">
        <v>716553</v>
      </c>
      <c r="M25" s="40">
        <v>1</v>
      </c>
      <c r="N25" s="35">
        <v>117</v>
      </c>
      <c r="O25" s="35">
        <v>76</v>
      </c>
      <c r="P25" s="35">
        <v>97</v>
      </c>
      <c r="Q25" s="35">
        <v>36</v>
      </c>
      <c r="R25" s="39">
        <v>1</v>
      </c>
      <c r="S25" s="39">
        <v>1</v>
      </c>
      <c r="T25" s="39">
        <v>1</v>
      </c>
      <c r="U25" s="39">
        <v>1</v>
      </c>
      <c r="V25" s="35">
        <v>7686</v>
      </c>
      <c r="W25" s="35">
        <v>7749</v>
      </c>
      <c r="X25" s="35">
        <v>7602</v>
      </c>
      <c r="Y25" s="37">
        <v>341008</v>
      </c>
      <c r="Z25" s="36">
        <v>26.5</v>
      </c>
      <c r="AA25" s="35">
        <v>25</v>
      </c>
      <c r="AB25" s="35">
        <v>17</v>
      </c>
      <c r="AC25" s="35">
        <v>41</v>
      </c>
      <c r="AD25" s="35">
        <v>20</v>
      </c>
      <c r="AE25" s="35">
        <v>7686</v>
      </c>
      <c r="AF25" s="35">
        <v>7749</v>
      </c>
      <c r="AG25" s="35">
        <v>7602</v>
      </c>
      <c r="AH25" s="35"/>
      <c r="AI25" s="35"/>
      <c r="AJ25" s="35"/>
      <c r="AK25" s="35"/>
      <c r="AL25" s="37">
        <v>731430</v>
      </c>
      <c r="AM25" s="40">
        <v>0.41</v>
      </c>
      <c r="AN25" s="35">
        <v>29</v>
      </c>
      <c r="AO25" s="35">
        <v>35</v>
      </c>
      <c r="AP25" s="35">
        <v>36</v>
      </c>
      <c r="AQ25" s="35">
        <v>6</v>
      </c>
      <c r="AR25" s="39">
        <v>0.99</v>
      </c>
      <c r="AS25" s="39">
        <v>0.99</v>
      </c>
      <c r="AT25" s="39">
        <v>0.99</v>
      </c>
      <c r="AU25" s="39">
        <v>0.99</v>
      </c>
      <c r="AV25" s="35">
        <v>7679</v>
      </c>
      <c r="AW25" s="35">
        <v>7749</v>
      </c>
      <c r="AX25" s="35">
        <v>7595</v>
      </c>
      <c r="AY25" s="37">
        <v>168293</v>
      </c>
      <c r="AZ25" s="36">
        <v>26.5</v>
      </c>
      <c r="BA25" s="37">
        <v>44</v>
      </c>
      <c r="BB25" s="37">
        <v>42</v>
      </c>
      <c r="BC25" s="37">
        <v>60</v>
      </c>
      <c r="BD25" s="37">
        <v>136</v>
      </c>
      <c r="BE25" s="34">
        <f>((SUM(N25:P25)/3))+((SUM(AA25:AC25)/3))+((SUM(AN25:AP25)/3))</f>
        <v>157.66666666666669</v>
      </c>
      <c r="BF25" s="33">
        <f>(BE25*1.732*13.2)</f>
        <v>3604.6384000000007</v>
      </c>
      <c r="BG25" s="66"/>
      <c r="BH25" s="66"/>
      <c r="BI25" s="65"/>
      <c r="BJ25" s="24"/>
      <c r="BK25" s="29"/>
      <c r="BL25" s="28"/>
      <c r="BM25" s="29"/>
      <c r="BN25" s="28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</row>
    <row r="26" spans="1:79" s="2" customFormat="1" ht="18.75" x14ac:dyDescent="0.25">
      <c r="A26" s="47">
        <v>0.54166666666666696</v>
      </c>
      <c r="B26" s="45">
        <v>68354</v>
      </c>
      <c r="C26" s="45">
        <v>68873</v>
      </c>
      <c r="D26" s="45">
        <v>67678</v>
      </c>
      <c r="E26" s="45">
        <v>25</v>
      </c>
      <c r="F26" s="45">
        <v>13</v>
      </c>
      <c r="G26" s="45">
        <v>38</v>
      </c>
      <c r="H26" s="45">
        <v>19</v>
      </c>
      <c r="I26" s="45">
        <v>7791</v>
      </c>
      <c r="J26" s="45">
        <v>7868</v>
      </c>
      <c r="K26" s="45">
        <v>7707</v>
      </c>
      <c r="L26" s="48"/>
      <c r="M26" s="48"/>
      <c r="N26" s="45">
        <v>120</v>
      </c>
      <c r="O26" s="45">
        <v>78</v>
      </c>
      <c r="P26" s="45">
        <v>94</v>
      </c>
      <c r="Q26" s="45">
        <v>37</v>
      </c>
      <c r="R26" s="45"/>
      <c r="S26" s="45"/>
      <c r="T26" s="45"/>
      <c r="U26" s="45"/>
      <c r="V26" s="45">
        <v>7700</v>
      </c>
      <c r="W26" s="45">
        <v>7777</v>
      </c>
      <c r="X26" s="45">
        <v>7616</v>
      </c>
      <c r="Y26" s="48"/>
      <c r="Z26" s="49"/>
      <c r="AA26" s="45">
        <v>24</v>
      </c>
      <c r="AB26" s="45">
        <v>15</v>
      </c>
      <c r="AC26" s="45">
        <v>40</v>
      </c>
      <c r="AD26" s="45">
        <v>20</v>
      </c>
      <c r="AE26" s="45">
        <v>7707</v>
      </c>
      <c r="AF26" s="45">
        <v>7777</v>
      </c>
      <c r="AG26" s="45">
        <v>7623</v>
      </c>
      <c r="AH26" s="45"/>
      <c r="AI26" s="45"/>
      <c r="AJ26" s="45"/>
      <c r="AK26" s="45"/>
      <c r="AL26" s="48"/>
      <c r="AM26" s="48"/>
      <c r="AN26" s="45">
        <v>32</v>
      </c>
      <c r="AO26" s="45">
        <v>34</v>
      </c>
      <c r="AP26" s="45">
        <v>37</v>
      </c>
      <c r="AQ26" s="45">
        <v>6</v>
      </c>
      <c r="AR26" s="60"/>
      <c r="AS26" s="60"/>
      <c r="AT26" s="60"/>
      <c r="AU26" s="60"/>
      <c r="AV26" s="45">
        <v>7700</v>
      </c>
      <c r="AW26" s="45">
        <v>7777</v>
      </c>
      <c r="AX26" s="45">
        <v>7616</v>
      </c>
      <c r="AY26" s="48"/>
      <c r="AZ26" s="48"/>
      <c r="BA26" s="48"/>
      <c r="BB26" s="48"/>
      <c r="BC26" s="48"/>
      <c r="BD26" s="48"/>
      <c r="BE26" s="34">
        <f>((SUM(N26:P26)/3))+((SUM(AA26:AC26)/3))+((SUM(AN26:AP26)/3))</f>
        <v>158</v>
      </c>
      <c r="BF26" s="33">
        <f>(BE26*1.732*13.2)</f>
        <v>3612.2592</v>
      </c>
      <c r="BG26" s="66"/>
      <c r="BH26" s="66"/>
      <c r="BI26" s="65"/>
      <c r="BJ26" s="24"/>
      <c r="BK26" s="29"/>
      <c r="BL26" s="28"/>
      <c r="BM26" s="27"/>
      <c r="BN26" s="26"/>
      <c r="BO26" s="25"/>
      <c r="BP26" s="25"/>
      <c r="BQ26" s="25"/>
      <c r="BR26" s="25"/>
      <c r="BS26" s="24"/>
      <c r="BT26" s="24"/>
      <c r="BU26" s="24"/>
      <c r="BV26" s="24"/>
      <c r="BW26" s="24"/>
      <c r="BX26" s="24"/>
      <c r="BY26" s="24"/>
      <c r="BZ26" s="24"/>
      <c r="CA26" s="24"/>
    </row>
    <row r="27" spans="1:79" s="2" customFormat="1" ht="18.75" x14ac:dyDescent="0.25">
      <c r="A27" s="47">
        <v>0.58333333333333304</v>
      </c>
      <c r="B27" s="45">
        <v>67918</v>
      </c>
      <c r="C27" s="45">
        <v>68510</v>
      </c>
      <c r="D27" s="45">
        <v>67244</v>
      </c>
      <c r="E27" s="45">
        <v>22</v>
      </c>
      <c r="F27" s="45">
        <v>16</v>
      </c>
      <c r="G27" s="45">
        <v>39</v>
      </c>
      <c r="H27" s="45">
        <v>20</v>
      </c>
      <c r="I27" s="45">
        <v>7701</v>
      </c>
      <c r="J27" s="45">
        <v>7828</v>
      </c>
      <c r="K27" s="45">
        <v>7616</v>
      </c>
      <c r="L27" s="42"/>
      <c r="M27" s="42"/>
      <c r="N27" s="45">
        <v>119</v>
      </c>
      <c r="O27" s="45">
        <v>78</v>
      </c>
      <c r="P27" s="45">
        <v>98</v>
      </c>
      <c r="Q27" s="45">
        <v>37</v>
      </c>
      <c r="R27" s="45"/>
      <c r="S27" s="45"/>
      <c r="T27" s="45"/>
      <c r="U27" s="45"/>
      <c r="V27" s="45">
        <v>7658</v>
      </c>
      <c r="W27" s="45">
        <v>7735</v>
      </c>
      <c r="X27" s="45">
        <v>7574</v>
      </c>
      <c r="Y27" s="42"/>
      <c r="Z27" s="46"/>
      <c r="AA27" s="45">
        <v>25</v>
      </c>
      <c r="AB27" s="45">
        <v>16</v>
      </c>
      <c r="AC27" s="45">
        <v>42</v>
      </c>
      <c r="AD27" s="45">
        <v>21</v>
      </c>
      <c r="AE27" s="45">
        <v>7651</v>
      </c>
      <c r="AF27" s="45">
        <v>7728</v>
      </c>
      <c r="AG27" s="45">
        <v>7567</v>
      </c>
      <c r="AH27" s="45"/>
      <c r="AI27" s="45"/>
      <c r="AJ27" s="45"/>
      <c r="AK27" s="45"/>
      <c r="AL27" s="42"/>
      <c r="AM27" s="42"/>
      <c r="AN27" s="45">
        <v>31</v>
      </c>
      <c r="AO27" s="45">
        <v>35</v>
      </c>
      <c r="AP27" s="45">
        <v>38</v>
      </c>
      <c r="AQ27" s="45">
        <v>7</v>
      </c>
      <c r="AR27" s="60"/>
      <c r="AS27" s="60"/>
      <c r="AT27" s="60"/>
      <c r="AU27" s="60"/>
      <c r="AV27" s="45">
        <v>7651</v>
      </c>
      <c r="AW27" s="45">
        <v>7728</v>
      </c>
      <c r="AX27" s="45">
        <v>7567</v>
      </c>
      <c r="AY27" s="42"/>
      <c r="AZ27" s="42"/>
      <c r="BA27" s="42"/>
      <c r="BB27" s="42"/>
      <c r="BC27" s="42"/>
      <c r="BD27" s="42"/>
      <c r="BE27" s="34">
        <f>((SUM(N27:P27)/3))+((SUM(AA27:AC27)/3))+((SUM(AN27:AP27)/3))</f>
        <v>160.66666666666666</v>
      </c>
      <c r="BF27" s="33">
        <f>(BE27*1.732*13.2)</f>
        <v>3673.2255999999993</v>
      </c>
      <c r="BG27" s="30"/>
      <c r="BH27" s="30"/>
      <c r="BI27" s="24"/>
      <c r="BJ27" s="24"/>
      <c r="BK27" s="29"/>
      <c r="BL27" s="28"/>
      <c r="BM27" s="27"/>
      <c r="BN27" s="26"/>
      <c r="BO27" s="25"/>
      <c r="BP27" s="25"/>
      <c r="BQ27" s="25"/>
      <c r="BR27" s="25"/>
      <c r="BS27" s="24"/>
      <c r="BT27" s="24"/>
      <c r="BU27" s="24"/>
      <c r="BV27" s="24"/>
      <c r="BW27" s="24"/>
      <c r="BX27" s="24"/>
      <c r="BY27" s="24"/>
      <c r="BZ27" s="24"/>
      <c r="CA27" s="24"/>
    </row>
    <row r="28" spans="1:79" s="2" customFormat="1" ht="18.75" x14ac:dyDescent="0.25">
      <c r="A28" s="47">
        <v>0.625</v>
      </c>
      <c r="B28" s="45">
        <v>67491</v>
      </c>
      <c r="C28" s="45">
        <v>68065</v>
      </c>
      <c r="D28" s="45">
        <v>66786</v>
      </c>
      <c r="E28" s="45">
        <v>26</v>
      </c>
      <c r="F28" s="45">
        <v>14</v>
      </c>
      <c r="G28" s="45">
        <v>38</v>
      </c>
      <c r="H28" s="45">
        <v>19</v>
      </c>
      <c r="I28" s="43">
        <v>7700</v>
      </c>
      <c r="J28" s="43">
        <v>7777</v>
      </c>
      <c r="K28" s="43">
        <v>7609</v>
      </c>
      <c r="L28" s="30">
        <v>717395</v>
      </c>
      <c r="M28" s="54">
        <v>0.41</v>
      </c>
      <c r="N28" s="45">
        <v>116</v>
      </c>
      <c r="O28" s="45">
        <v>76</v>
      </c>
      <c r="P28" s="45">
        <v>93</v>
      </c>
      <c r="Q28" s="45">
        <v>36</v>
      </c>
      <c r="R28" s="44">
        <v>1</v>
      </c>
      <c r="S28" s="44">
        <v>1</v>
      </c>
      <c r="T28" s="44">
        <v>1</v>
      </c>
      <c r="U28" s="44">
        <v>1</v>
      </c>
      <c r="V28" s="43">
        <v>7609</v>
      </c>
      <c r="W28" s="43">
        <v>7686</v>
      </c>
      <c r="X28" s="43">
        <v>7518</v>
      </c>
      <c r="Y28" s="30">
        <v>347589</v>
      </c>
      <c r="Z28" s="53">
        <v>26.5</v>
      </c>
      <c r="AA28" s="45">
        <v>27</v>
      </c>
      <c r="AB28" s="45">
        <v>17</v>
      </c>
      <c r="AC28" s="45">
        <v>40</v>
      </c>
      <c r="AD28" s="45">
        <v>19</v>
      </c>
      <c r="AE28" s="43">
        <v>7602</v>
      </c>
      <c r="AF28" s="43">
        <v>7679</v>
      </c>
      <c r="AG28" s="43">
        <v>7518</v>
      </c>
      <c r="AH28" s="45"/>
      <c r="AI28" s="45"/>
      <c r="AJ28" s="45"/>
      <c r="AK28" s="45"/>
      <c r="AL28" s="30">
        <v>733267</v>
      </c>
      <c r="AM28" s="54">
        <v>0.41</v>
      </c>
      <c r="AN28" s="45">
        <v>31</v>
      </c>
      <c r="AO28" s="45">
        <v>35</v>
      </c>
      <c r="AP28" s="45">
        <v>37</v>
      </c>
      <c r="AQ28" s="45">
        <v>6</v>
      </c>
      <c r="AR28" s="44">
        <v>0.99</v>
      </c>
      <c r="AS28" s="44">
        <v>0.99</v>
      </c>
      <c r="AT28" s="44">
        <v>0.99</v>
      </c>
      <c r="AU28" s="44">
        <v>0.99</v>
      </c>
      <c r="AV28" s="43">
        <v>7602</v>
      </c>
      <c r="AW28" s="43">
        <v>7679</v>
      </c>
      <c r="AX28" s="43">
        <v>7518</v>
      </c>
      <c r="AY28" s="30">
        <v>170591</v>
      </c>
      <c r="AZ28" s="53">
        <v>26.5</v>
      </c>
      <c r="BA28" s="30">
        <v>43</v>
      </c>
      <c r="BB28" s="30">
        <v>42</v>
      </c>
      <c r="BC28" s="30">
        <v>60</v>
      </c>
      <c r="BD28" s="30">
        <v>136</v>
      </c>
      <c r="BE28" s="34">
        <f>((SUM(N28:P28)/3))+((SUM(AA28:AC28)/3))+((SUM(AN28:AP28)/3))</f>
        <v>157.33333333333334</v>
      </c>
      <c r="BF28" s="33">
        <f>(BE28*1.732*13.2)</f>
        <v>3597.0175999999997</v>
      </c>
      <c r="BG28" s="30"/>
      <c r="BH28" s="30"/>
      <c r="BI28" s="24"/>
      <c r="BJ28" s="24"/>
      <c r="BK28" s="29"/>
      <c r="BL28" s="28"/>
      <c r="BM28" s="27"/>
      <c r="BN28" s="26"/>
      <c r="BO28" s="25"/>
      <c r="BP28" s="25"/>
      <c r="BQ28" s="25"/>
      <c r="BR28" s="25"/>
      <c r="BS28" s="24"/>
      <c r="BT28" s="24"/>
      <c r="BU28" s="24"/>
      <c r="BV28" s="24"/>
      <c r="BW28" s="24"/>
      <c r="BX28" s="24"/>
      <c r="BY28" s="24"/>
      <c r="BZ28" s="24"/>
      <c r="CA28" s="24"/>
    </row>
    <row r="29" spans="1:79" s="2" customFormat="1" ht="18.75" x14ac:dyDescent="0.25">
      <c r="A29" s="47">
        <v>0.66666666666666696</v>
      </c>
      <c r="B29" s="45">
        <v>67688</v>
      </c>
      <c r="C29" s="45">
        <v>68345</v>
      </c>
      <c r="D29" s="45">
        <v>67061</v>
      </c>
      <c r="E29" s="45">
        <v>23</v>
      </c>
      <c r="F29" s="45">
        <v>17</v>
      </c>
      <c r="G29" s="45">
        <v>37</v>
      </c>
      <c r="H29" s="45">
        <v>14</v>
      </c>
      <c r="I29" s="43">
        <v>7721</v>
      </c>
      <c r="J29" s="43">
        <v>7805</v>
      </c>
      <c r="K29" s="43">
        <v>7630</v>
      </c>
      <c r="L29" s="48"/>
      <c r="M29" s="48"/>
      <c r="N29" s="45">
        <v>110</v>
      </c>
      <c r="O29" s="45">
        <v>72</v>
      </c>
      <c r="P29" s="45">
        <v>97</v>
      </c>
      <c r="Q29" s="45">
        <v>36</v>
      </c>
      <c r="R29" s="44"/>
      <c r="S29" s="44"/>
      <c r="T29" s="44"/>
      <c r="U29" s="44"/>
      <c r="V29" s="43">
        <v>7609</v>
      </c>
      <c r="W29" s="43">
        <v>7700</v>
      </c>
      <c r="X29" s="43">
        <v>7539</v>
      </c>
      <c r="Y29" s="48"/>
      <c r="Z29" s="49"/>
      <c r="AA29" s="45">
        <v>24</v>
      </c>
      <c r="AB29" s="45">
        <v>19</v>
      </c>
      <c r="AC29" s="45">
        <v>39</v>
      </c>
      <c r="AD29" s="45">
        <v>16</v>
      </c>
      <c r="AE29" s="43">
        <v>7616</v>
      </c>
      <c r="AF29" s="43">
        <v>7700</v>
      </c>
      <c r="AG29" s="43">
        <v>7539</v>
      </c>
      <c r="AH29" s="45"/>
      <c r="AI29" s="45"/>
      <c r="AJ29" s="45"/>
      <c r="AK29" s="45"/>
      <c r="AL29" s="48"/>
      <c r="AM29" s="48"/>
      <c r="AN29" s="45">
        <v>30</v>
      </c>
      <c r="AO29" s="45">
        <v>33</v>
      </c>
      <c r="AP29" s="45">
        <v>37</v>
      </c>
      <c r="AQ29" s="45">
        <v>7</v>
      </c>
      <c r="AR29" s="44"/>
      <c r="AS29" s="44"/>
      <c r="AT29" s="44"/>
      <c r="AU29" s="44"/>
      <c r="AV29" s="43">
        <v>7609</v>
      </c>
      <c r="AW29" s="43">
        <v>7693</v>
      </c>
      <c r="AX29" s="43">
        <v>7532</v>
      </c>
      <c r="AY29" s="48"/>
      <c r="AZ29" s="48"/>
      <c r="BA29" s="48"/>
      <c r="BB29" s="48"/>
      <c r="BC29" s="48"/>
      <c r="BD29" s="48"/>
      <c r="BE29" s="34">
        <f>((SUM(N29:P29)/3))+((SUM(AA29:AC29)/3))+((SUM(AN29:AP29)/3))</f>
        <v>153.66666666666666</v>
      </c>
      <c r="BF29" s="33">
        <f>(BE29*1.732*13.2)</f>
        <v>3513.1887999999999</v>
      </c>
      <c r="BG29" s="30"/>
      <c r="BH29" s="30"/>
      <c r="BI29" s="29"/>
      <c r="BJ29" s="28"/>
      <c r="BK29" s="29"/>
      <c r="BL29" s="28"/>
      <c r="BM29" s="27"/>
      <c r="BN29" s="26"/>
      <c r="BO29" s="27"/>
      <c r="BP29" s="26"/>
      <c r="BQ29" s="27"/>
      <c r="BR29" s="26"/>
      <c r="BS29" s="29"/>
      <c r="BT29" s="32"/>
      <c r="BU29" s="32"/>
      <c r="BV29" s="32"/>
      <c r="BW29" s="32"/>
      <c r="BX29" s="32"/>
      <c r="BY29" s="32"/>
      <c r="BZ29" s="32"/>
      <c r="CA29" s="28"/>
    </row>
    <row r="30" spans="1:79" s="2" customFormat="1" ht="18.75" x14ac:dyDescent="0.25">
      <c r="A30" s="47">
        <v>0.70833333333333304</v>
      </c>
      <c r="B30" s="45">
        <v>68153</v>
      </c>
      <c r="C30" s="45">
        <v>68975</v>
      </c>
      <c r="D30" s="45">
        <v>67682</v>
      </c>
      <c r="E30" s="45">
        <v>25</v>
      </c>
      <c r="F30" s="45">
        <v>17</v>
      </c>
      <c r="G30" s="45">
        <v>39</v>
      </c>
      <c r="H30" s="45">
        <v>17</v>
      </c>
      <c r="I30" s="43">
        <v>7777</v>
      </c>
      <c r="J30" s="43">
        <v>7875</v>
      </c>
      <c r="K30" s="43">
        <v>7707</v>
      </c>
      <c r="L30" s="42"/>
      <c r="M30" s="42"/>
      <c r="N30" s="45">
        <v>113</v>
      </c>
      <c r="O30" s="45">
        <v>73</v>
      </c>
      <c r="P30" s="45">
        <v>92</v>
      </c>
      <c r="Q30" s="45">
        <v>38</v>
      </c>
      <c r="R30" s="44"/>
      <c r="S30" s="44"/>
      <c r="T30" s="44"/>
      <c r="U30" s="44"/>
      <c r="V30" s="43">
        <v>7686</v>
      </c>
      <c r="W30" s="43">
        <v>7791</v>
      </c>
      <c r="X30" s="43">
        <v>7616</v>
      </c>
      <c r="Y30" s="42"/>
      <c r="Z30" s="46"/>
      <c r="AA30" s="45">
        <v>26</v>
      </c>
      <c r="AB30" s="45">
        <v>19</v>
      </c>
      <c r="AC30" s="45">
        <v>42</v>
      </c>
      <c r="AD30" s="45">
        <v>19</v>
      </c>
      <c r="AE30" s="43">
        <v>7686</v>
      </c>
      <c r="AF30" s="43">
        <v>7784</v>
      </c>
      <c r="AG30" s="43">
        <v>7616</v>
      </c>
      <c r="AH30" s="45"/>
      <c r="AI30" s="45"/>
      <c r="AJ30" s="45"/>
      <c r="AK30" s="45"/>
      <c r="AL30" s="42"/>
      <c r="AM30" s="42"/>
      <c r="AN30" s="45">
        <v>29</v>
      </c>
      <c r="AO30" s="45">
        <v>37</v>
      </c>
      <c r="AP30" s="45">
        <v>34</v>
      </c>
      <c r="AQ30" s="45">
        <v>7</v>
      </c>
      <c r="AR30" s="44"/>
      <c r="AS30" s="44"/>
      <c r="AT30" s="44"/>
      <c r="AU30" s="44"/>
      <c r="AV30" s="43">
        <v>7679</v>
      </c>
      <c r="AW30" s="43">
        <v>7784</v>
      </c>
      <c r="AX30" s="43">
        <v>7609</v>
      </c>
      <c r="AY30" s="42"/>
      <c r="AZ30" s="42"/>
      <c r="BA30" s="42"/>
      <c r="BB30" s="42"/>
      <c r="BC30" s="42"/>
      <c r="BD30" s="42"/>
      <c r="BE30" s="34">
        <f>((SUM(N30:P30)/3))+((SUM(AA30:AC30)/3))+((SUM(AN30:AP30)/3))</f>
        <v>155</v>
      </c>
      <c r="BF30" s="33">
        <f>(BE30*1.732*13.2)</f>
        <v>3543.6719999999996</v>
      </c>
      <c r="BG30" s="64"/>
      <c r="BH30" s="64"/>
      <c r="BI30" s="64"/>
      <c r="BJ30" s="64"/>
      <c r="BK30" s="64"/>
      <c r="BL30" s="64"/>
      <c r="BM30" s="64"/>
      <c r="BN30" s="64"/>
      <c r="BO30" s="64"/>
      <c r="BP30" s="64"/>
      <c r="BQ30" s="64"/>
      <c r="BR30" s="64"/>
      <c r="BS30" s="64"/>
      <c r="BT30" s="64"/>
      <c r="BU30" s="64"/>
      <c r="BV30" s="64"/>
      <c r="BW30" s="64"/>
      <c r="BX30" s="64"/>
      <c r="BY30" s="64"/>
      <c r="BZ30" s="64"/>
      <c r="CA30" s="64"/>
    </row>
    <row r="31" spans="1:79" s="2" customFormat="1" ht="18.75" x14ac:dyDescent="0.25">
      <c r="A31" s="41">
        <v>0.75</v>
      </c>
      <c r="B31" s="35">
        <v>66853</v>
      </c>
      <c r="C31" s="35">
        <v>68097</v>
      </c>
      <c r="D31" s="35">
        <v>66481</v>
      </c>
      <c r="E31" s="35">
        <v>28</v>
      </c>
      <c r="F31" s="35">
        <v>21</v>
      </c>
      <c r="G31" s="35">
        <v>43</v>
      </c>
      <c r="H31" s="35">
        <v>19</v>
      </c>
      <c r="I31" s="35">
        <v>7616</v>
      </c>
      <c r="J31" s="35">
        <v>7770</v>
      </c>
      <c r="K31" s="35">
        <v>7567</v>
      </c>
      <c r="L31" s="37">
        <v>718391</v>
      </c>
      <c r="M31" s="40">
        <v>0.41</v>
      </c>
      <c r="N31" s="35">
        <v>130</v>
      </c>
      <c r="O31" s="35">
        <v>88</v>
      </c>
      <c r="P31" s="35">
        <v>114</v>
      </c>
      <c r="Q31" s="35">
        <v>40</v>
      </c>
      <c r="R31" s="39">
        <v>1</v>
      </c>
      <c r="S31" s="39">
        <v>1</v>
      </c>
      <c r="T31" s="39">
        <v>1</v>
      </c>
      <c r="U31" s="39">
        <v>1</v>
      </c>
      <c r="V31" s="35">
        <v>7525</v>
      </c>
      <c r="W31" s="35">
        <v>7693</v>
      </c>
      <c r="X31" s="35">
        <v>7483</v>
      </c>
      <c r="Y31" s="37">
        <v>354102</v>
      </c>
      <c r="Z31" s="36">
        <v>26.5</v>
      </c>
      <c r="AA31" s="35">
        <v>30</v>
      </c>
      <c r="AB31" s="35">
        <v>22</v>
      </c>
      <c r="AC31" s="35">
        <v>44</v>
      </c>
      <c r="AD31" s="35">
        <v>20</v>
      </c>
      <c r="AE31" s="35">
        <v>7525</v>
      </c>
      <c r="AF31" s="35">
        <v>7686</v>
      </c>
      <c r="AG31" s="35">
        <v>7476</v>
      </c>
      <c r="AH31" s="35"/>
      <c r="AI31" s="35"/>
      <c r="AJ31" s="35"/>
      <c r="AK31" s="35"/>
      <c r="AL31" s="37">
        <v>735226</v>
      </c>
      <c r="AM31" s="40">
        <v>0.41</v>
      </c>
      <c r="AN31" s="35">
        <v>33</v>
      </c>
      <c r="AO31" s="35">
        <v>38</v>
      </c>
      <c r="AP31" s="35">
        <v>40</v>
      </c>
      <c r="AQ31" s="35">
        <v>7</v>
      </c>
      <c r="AR31" s="39">
        <v>0.99</v>
      </c>
      <c r="AS31" s="39">
        <v>0.99</v>
      </c>
      <c r="AT31" s="39">
        <v>0.99</v>
      </c>
      <c r="AU31" s="39">
        <v>0.99</v>
      </c>
      <c r="AV31" s="35">
        <v>7525</v>
      </c>
      <c r="AW31" s="35">
        <v>7686</v>
      </c>
      <c r="AX31" s="35">
        <v>7483</v>
      </c>
      <c r="AY31" s="37">
        <v>172873</v>
      </c>
      <c r="AZ31" s="36">
        <v>26.5</v>
      </c>
      <c r="BA31" s="37">
        <v>42</v>
      </c>
      <c r="BB31" s="37">
        <v>41</v>
      </c>
      <c r="BC31" s="37">
        <v>60</v>
      </c>
      <c r="BD31" s="37">
        <v>136</v>
      </c>
      <c r="BE31" s="34">
        <f>((SUM(N31:P31)/3))+((SUM(AA31:AC31)/3))+((SUM(AN31:AP31)/3))</f>
        <v>179.66666666666669</v>
      </c>
      <c r="BF31" s="33">
        <f>(BE31*1.732*13.2)</f>
        <v>4107.6112000000003</v>
      </c>
      <c r="BG31" s="29" t="s">
        <v>17</v>
      </c>
      <c r="BH31" s="32"/>
      <c r="BI31" s="32"/>
      <c r="BJ31" s="32"/>
      <c r="BK31" s="32"/>
      <c r="BL31" s="32"/>
      <c r="BM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28"/>
    </row>
    <row r="32" spans="1:79" s="2" customFormat="1" ht="18.75" x14ac:dyDescent="0.25">
      <c r="A32" s="47">
        <v>0.79166666666666696</v>
      </c>
      <c r="B32" s="45">
        <v>67109</v>
      </c>
      <c r="C32" s="45">
        <v>68603</v>
      </c>
      <c r="D32" s="45">
        <v>66802</v>
      </c>
      <c r="E32" s="45">
        <v>32</v>
      </c>
      <c r="F32" s="45">
        <v>25</v>
      </c>
      <c r="G32" s="45">
        <v>52</v>
      </c>
      <c r="H32" s="45">
        <v>22</v>
      </c>
      <c r="I32" s="45">
        <v>7620</v>
      </c>
      <c r="J32" s="45">
        <v>7802</v>
      </c>
      <c r="K32" s="45">
        <v>7609</v>
      </c>
      <c r="L32" s="48"/>
      <c r="M32" s="48"/>
      <c r="N32" s="45">
        <v>161</v>
      </c>
      <c r="O32" s="45">
        <v>101</v>
      </c>
      <c r="P32" s="45">
        <v>139</v>
      </c>
      <c r="Q32" s="45">
        <v>57</v>
      </c>
      <c r="R32" s="60"/>
      <c r="S32" s="60"/>
      <c r="T32" s="60"/>
      <c r="U32" s="60"/>
      <c r="V32" s="45">
        <v>7560</v>
      </c>
      <c r="W32" s="45">
        <v>7749</v>
      </c>
      <c r="X32" s="45">
        <v>7532</v>
      </c>
      <c r="Y32" s="48"/>
      <c r="Z32" s="49"/>
      <c r="AA32" s="45">
        <v>35</v>
      </c>
      <c r="AB32" s="45">
        <v>25</v>
      </c>
      <c r="AC32" s="45">
        <v>54</v>
      </c>
      <c r="AD32" s="45">
        <v>24</v>
      </c>
      <c r="AE32" s="45">
        <v>7567</v>
      </c>
      <c r="AF32" s="45">
        <v>7749</v>
      </c>
      <c r="AG32" s="45">
        <v>7532</v>
      </c>
      <c r="AH32" s="45"/>
      <c r="AI32" s="45"/>
      <c r="AJ32" s="45"/>
      <c r="AK32" s="45"/>
      <c r="AL32" s="48"/>
      <c r="AM32" s="48"/>
      <c r="AN32" s="45">
        <v>45</v>
      </c>
      <c r="AO32" s="45">
        <v>50</v>
      </c>
      <c r="AP32" s="45">
        <v>49</v>
      </c>
      <c r="AQ32" s="45">
        <v>6</v>
      </c>
      <c r="AR32" s="60"/>
      <c r="AS32" s="60"/>
      <c r="AT32" s="60"/>
      <c r="AU32" s="60"/>
      <c r="AV32" s="45">
        <v>7560</v>
      </c>
      <c r="AW32" s="45">
        <v>7749</v>
      </c>
      <c r="AX32" s="45">
        <v>7539</v>
      </c>
      <c r="AY32" s="48"/>
      <c r="AZ32" s="48"/>
      <c r="BA32" s="48"/>
      <c r="BB32" s="48"/>
      <c r="BC32" s="48"/>
      <c r="BD32" s="48"/>
      <c r="BE32" s="34">
        <f>((SUM(N32:P32)/3))+((SUM(AA32:AC32)/3))+((SUM(AN32:AP32)/3))</f>
        <v>219.66666666666666</v>
      </c>
      <c r="BF32" s="33">
        <f>(BE32*1.732*13.2)</f>
        <v>5022.1071999999995</v>
      </c>
      <c r="BG32" s="63" t="s">
        <v>16</v>
      </c>
      <c r="BH32" s="63" t="s">
        <v>15</v>
      </c>
      <c r="BI32" s="62" t="s">
        <v>14</v>
      </c>
      <c r="BJ32" s="61"/>
      <c r="BK32" s="29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28"/>
    </row>
    <row r="33" spans="1:79" s="2" customFormat="1" ht="18.75" x14ac:dyDescent="0.25">
      <c r="A33" s="47">
        <v>0.83333333333333304</v>
      </c>
      <c r="B33" s="45">
        <v>68162</v>
      </c>
      <c r="C33" s="45">
        <v>69545</v>
      </c>
      <c r="D33" s="45">
        <v>67926</v>
      </c>
      <c r="E33" s="45">
        <v>31</v>
      </c>
      <c r="F33" s="45">
        <v>21</v>
      </c>
      <c r="G33" s="45">
        <v>52</v>
      </c>
      <c r="H33" s="45">
        <v>25</v>
      </c>
      <c r="I33" s="45">
        <v>7772</v>
      </c>
      <c r="J33" s="45">
        <v>7895</v>
      </c>
      <c r="K33" s="45">
        <v>7721</v>
      </c>
      <c r="L33" s="42"/>
      <c r="M33" s="42"/>
      <c r="N33" s="45">
        <v>155</v>
      </c>
      <c r="O33" s="45">
        <v>98</v>
      </c>
      <c r="P33" s="45">
        <v>132</v>
      </c>
      <c r="Q33" s="45">
        <v>52</v>
      </c>
      <c r="R33" s="60"/>
      <c r="S33" s="60"/>
      <c r="T33" s="60"/>
      <c r="U33" s="60"/>
      <c r="V33" s="45">
        <v>7679</v>
      </c>
      <c r="W33" s="45">
        <v>7854</v>
      </c>
      <c r="X33" s="45">
        <v>7644</v>
      </c>
      <c r="Y33" s="42"/>
      <c r="Z33" s="46"/>
      <c r="AA33" s="45">
        <v>34</v>
      </c>
      <c r="AB33" s="45">
        <v>22</v>
      </c>
      <c r="AC33" s="45">
        <v>54</v>
      </c>
      <c r="AD33" s="45">
        <v>26</v>
      </c>
      <c r="AE33" s="45">
        <v>7679</v>
      </c>
      <c r="AF33" s="45">
        <v>7847</v>
      </c>
      <c r="AG33" s="45">
        <v>7637</v>
      </c>
      <c r="AH33" s="45"/>
      <c r="AI33" s="45"/>
      <c r="AJ33" s="45"/>
      <c r="AK33" s="45"/>
      <c r="AL33" s="42"/>
      <c r="AM33" s="42"/>
      <c r="AN33" s="45">
        <v>43</v>
      </c>
      <c r="AO33" s="45">
        <v>47</v>
      </c>
      <c r="AP33" s="45">
        <v>47</v>
      </c>
      <c r="AQ33" s="45">
        <v>6</v>
      </c>
      <c r="AR33" s="60"/>
      <c r="AS33" s="60"/>
      <c r="AT33" s="60"/>
      <c r="AU33" s="60"/>
      <c r="AV33" s="45">
        <v>7665</v>
      </c>
      <c r="AW33" s="45">
        <v>7840</v>
      </c>
      <c r="AX33" s="45">
        <v>7637</v>
      </c>
      <c r="AY33" s="42"/>
      <c r="AZ33" s="42"/>
      <c r="BA33" s="42"/>
      <c r="BB33" s="42"/>
      <c r="BC33" s="42"/>
      <c r="BD33" s="42"/>
      <c r="BE33" s="34">
        <f>((SUM(N33:P33)/3))+((SUM(AA33:AC33)/3))+((SUM(AN33:AP33)/3))</f>
        <v>210.66666666666666</v>
      </c>
      <c r="BF33" s="33">
        <f>(BE33*1.732*13.2)</f>
        <v>4816.3455999999996</v>
      </c>
      <c r="BG33" s="59"/>
      <c r="BH33" s="59"/>
      <c r="BI33" s="58"/>
      <c r="BJ33" s="57"/>
      <c r="BK33" s="27" t="s">
        <v>13</v>
      </c>
      <c r="BL33" s="26"/>
      <c r="BM33" s="27" t="s">
        <v>12</v>
      </c>
      <c r="BN33" s="26"/>
      <c r="BO33" s="56" t="s">
        <v>11</v>
      </c>
      <c r="BP33" s="55"/>
      <c r="BQ33" s="29" t="s">
        <v>10</v>
      </c>
      <c r="BR33" s="28"/>
      <c r="BS33" s="29" t="s">
        <v>9</v>
      </c>
      <c r="BT33" s="32"/>
      <c r="BU33" s="32"/>
      <c r="BV33" s="32"/>
      <c r="BW33" s="32"/>
      <c r="BX33" s="32"/>
      <c r="BY33" s="32"/>
      <c r="BZ33" s="32"/>
      <c r="CA33" s="28"/>
    </row>
    <row r="34" spans="1:79" s="2" customFormat="1" ht="18.75" customHeight="1" x14ac:dyDescent="0.25">
      <c r="A34" s="47">
        <v>0.875</v>
      </c>
      <c r="B34" s="45">
        <v>68150</v>
      </c>
      <c r="C34" s="45">
        <v>69504</v>
      </c>
      <c r="D34" s="45">
        <v>67904</v>
      </c>
      <c r="E34" s="45">
        <v>32</v>
      </c>
      <c r="F34" s="45">
        <v>20</v>
      </c>
      <c r="G34" s="45">
        <v>47</v>
      </c>
      <c r="H34" s="45">
        <v>22</v>
      </c>
      <c r="I34" s="45">
        <v>7684</v>
      </c>
      <c r="J34" s="45">
        <v>7724</v>
      </c>
      <c r="K34" s="45">
        <v>7721</v>
      </c>
      <c r="L34" s="30">
        <v>719765</v>
      </c>
      <c r="M34" s="54">
        <v>0.41</v>
      </c>
      <c r="N34" s="45">
        <v>153</v>
      </c>
      <c r="O34" s="45">
        <v>98</v>
      </c>
      <c r="P34" s="45">
        <v>129</v>
      </c>
      <c r="Q34" s="45">
        <v>50</v>
      </c>
      <c r="R34" s="44">
        <v>1</v>
      </c>
      <c r="S34" s="44">
        <v>1</v>
      </c>
      <c r="T34" s="44">
        <v>1</v>
      </c>
      <c r="U34" s="44">
        <v>1</v>
      </c>
      <c r="V34" s="43">
        <v>7724</v>
      </c>
      <c r="W34" s="43">
        <v>7684</v>
      </c>
      <c r="X34" s="43">
        <v>7644</v>
      </c>
      <c r="Y34" s="30">
        <v>363016</v>
      </c>
      <c r="Z34" s="53">
        <v>26.5</v>
      </c>
      <c r="AA34" s="45">
        <v>32</v>
      </c>
      <c r="AB34" s="45">
        <v>20</v>
      </c>
      <c r="AC34" s="45">
        <v>50</v>
      </c>
      <c r="AD34" s="45">
        <v>24</v>
      </c>
      <c r="AE34" s="43">
        <v>7602</v>
      </c>
      <c r="AF34" s="43">
        <v>7679</v>
      </c>
      <c r="AG34" s="43">
        <v>7518</v>
      </c>
      <c r="AH34" s="45"/>
      <c r="AI34" s="45"/>
      <c r="AJ34" s="45"/>
      <c r="AK34" s="45"/>
      <c r="AL34" s="30">
        <v>737938</v>
      </c>
      <c r="AM34" s="54">
        <v>0.41</v>
      </c>
      <c r="AN34" s="45">
        <v>40</v>
      </c>
      <c r="AO34" s="45">
        <v>44</v>
      </c>
      <c r="AP34" s="45">
        <v>46</v>
      </c>
      <c r="AQ34" s="45">
        <v>8</v>
      </c>
      <c r="AR34" s="44">
        <v>0.99</v>
      </c>
      <c r="AS34" s="44">
        <v>0.99</v>
      </c>
      <c r="AT34" s="44">
        <v>0.99</v>
      </c>
      <c r="AU34" s="44">
        <v>0.99</v>
      </c>
      <c r="AV34" s="43">
        <v>7679</v>
      </c>
      <c r="AW34" s="43">
        <v>7784</v>
      </c>
      <c r="AX34" s="43">
        <v>7609</v>
      </c>
      <c r="AY34" s="30">
        <v>176230</v>
      </c>
      <c r="AZ34" s="53">
        <v>26.5</v>
      </c>
      <c r="BA34" s="30">
        <v>42</v>
      </c>
      <c r="BB34" s="30">
        <v>41</v>
      </c>
      <c r="BC34" s="30">
        <v>60</v>
      </c>
      <c r="BD34" s="30">
        <v>136</v>
      </c>
      <c r="BE34" s="34">
        <f>((SUM(N34:P34)/3))+((SUM(AA34:AC34)/3))+((SUM(AN34:AP34)/3))</f>
        <v>204.00000000000003</v>
      </c>
      <c r="BF34" s="33">
        <f>(BE34*1.732*13.2)</f>
        <v>4663.9296000000004</v>
      </c>
      <c r="BG34" s="52"/>
      <c r="BH34" s="52"/>
      <c r="BI34" s="51"/>
      <c r="BJ34" s="50"/>
      <c r="BK34" s="29"/>
      <c r="BL34" s="28"/>
      <c r="BM34" s="27"/>
      <c r="BN34" s="26"/>
      <c r="BO34" s="27"/>
      <c r="BP34" s="26"/>
      <c r="BQ34" s="27"/>
      <c r="BR34" s="26"/>
      <c r="BS34" s="29"/>
      <c r="BT34" s="32"/>
      <c r="BU34" s="32"/>
      <c r="BV34" s="32"/>
      <c r="BW34" s="32"/>
      <c r="BX34" s="32"/>
      <c r="BY34" s="32"/>
      <c r="BZ34" s="32"/>
      <c r="CA34" s="28"/>
    </row>
    <row r="35" spans="1:79" s="2" customFormat="1" ht="18.75" x14ac:dyDescent="0.25">
      <c r="A35" s="47">
        <v>0.91666666666666696</v>
      </c>
      <c r="B35" s="45">
        <v>68160</v>
      </c>
      <c r="C35" s="45">
        <v>69484</v>
      </c>
      <c r="D35" s="45">
        <v>67952</v>
      </c>
      <c r="E35" s="45">
        <v>27</v>
      </c>
      <c r="F35" s="45">
        <v>16</v>
      </c>
      <c r="G35" s="45">
        <v>44</v>
      </c>
      <c r="H35" s="45">
        <v>23</v>
      </c>
      <c r="I35" s="45">
        <v>7701</v>
      </c>
      <c r="J35" s="45">
        <v>7828</v>
      </c>
      <c r="K35" s="45">
        <v>7616</v>
      </c>
      <c r="L35" s="48"/>
      <c r="M35" s="48"/>
      <c r="N35" s="45">
        <v>140</v>
      </c>
      <c r="O35" s="45">
        <v>88</v>
      </c>
      <c r="P35" s="45">
        <v>118</v>
      </c>
      <c r="Q35" s="45">
        <v>47</v>
      </c>
      <c r="R35" s="44"/>
      <c r="S35" s="44"/>
      <c r="T35" s="44"/>
      <c r="U35" s="44"/>
      <c r="V35" s="45">
        <v>7679</v>
      </c>
      <c r="W35" s="45">
        <v>7854</v>
      </c>
      <c r="X35" s="45">
        <v>7644</v>
      </c>
      <c r="Y35" s="48"/>
      <c r="Z35" s="49"/>
      <c r="AA35" s="45">
        <v>29</v>
      </c>
      <c r="AB35" s="45">
        <v>16</v>
      </c>
      <c r="AC35" s="45">
        <v>44</v>
      </c>
      <c r="AD35" s="45">
        <v>23</v>
      </c>
      <c r="AE35" s="43">
        <v>7686</v>
      </c>
      <c r="AF35" s="43">
        <v>7784</v>
      </c>
      <c r="AG35" s="43">
        <v>7616</v>
      </c>
      <c r="AH35" s="45"/>
      <c r="AI35" s="45"/>
      <c r="AJ35" s="45"/>
      <c r="AK35" s="45"/>
      <c r="AL35" s="48"/>
      <c r="AM35" s="48"/>
      <c r="AN35" s="45">
        <v>34</v>
      </c>
      <c r="AO35" s="45">
        <v>38</v>
      </c>
      <c r="AP35" s="45">
        <v>41</v>
      </c>
      <c r="AQ35" s="45">
        <v>7</v>
      </c>
      <c r="AR35" s="44"/>
      <c r="AS35" s="44"/>
      <c r="AT35" s="44"/>
      <c r="AU35" s="44"/>
      <c r="AV35" s="45">
        <v>7651</v>
      </c>
      <c r="AW35" s="45">
        <v>7728</v>
      </c>
      <c r="AX35" s="45">
        <v>7567</v>
      </c>
      <c r="AY35" s="48"/>
      <c r="AZ35" s="48"/>
      <c r="BA35" s="48"/>
      <c r="BB35" s="48"/>
      <c r="BC35" s="48"/>
      <c r="BD35" s="48"/>
      <c r="BE35" s="34">
        <f>((SUM(N35:P35)/3))+((SUM(AA35:AC35)/3))+((SUM(AN35:AP35)/3))</f>
        <v>182.66666666666666</v>
      </c>
      <c r="BF35" s="33">
        <f>(BE35*1.732*13.2)</f>
        <v>4176.1984000000002</v>
      </c>
      <c r="BG35" s="30"/>
      <c r="BH35" s="30"/>
      <c r="BI35" s="29"/>
      <c r="BJ35" s="28"/>
      <c r="BK35" s="29"/>
      <c r="BL35" s="28"/>
      <c r="BM35" s="27"/>
      <c r="BN35" s="26"/>
      <c r="BO35" s="27"/>
      <c r="BP35" s="26"/>
      <c r="BQ35" s="27"/>
      <c r="BR35" s="26"/>
      <c r="BS35" s="29"/>
      <c r="BT35" s="32"/>
      <c r="BU35" s="32"/>
      <c r="BV35" s="32"/>
      <c r="BW35" s="32"/>
      <c r="BX35" s="32"/>
      <c r="BY35" s="32"/>
      <c r="BZ35" s="32"/>
      <c r="CA35" s="28"/>
    </row>
    <row r="36" spans="1:79" s="2" customFormat="1" ht="18.75" x14ac:dyDescent="0.25">
      <c r="A36" s="47">
        <v>0.95833333333333304</v>
      </c>
      <c r="B36" s="45">
        <v>68864</v>
      </c>
      <c r="C36" s="45">
        <v>69994</v>
      </c>
      <c r="D36" s="45">
        <v>67988</v>
      </c>
      <c r="E36" s="45">
        <v>23</v>
      </c>
      <c r="F36" s="45">
        <v>15</v>
      </c>
      <c r="G36" s="45">
        <v>38</v>
      </c>
      <c r="H36" s="45">
        <v>17</v>
      </c>
      <c r="I36" s="45">
        <v>7684</v>
      </c>
      <c r="J36" s="45">
        <v>7722</v>
      </c>
      <c r="K36" s="45">
        <v>7721</v>
      </c>
      <c r="L36" s="42"/>
      <c r="M36" s="42"/>
      <c r="N36" s="45">
        <v>127</v>
      </c>
      <c r="O36" s="45">
        <v>80</v>
      </c>
      <c r="P36" s="45">
        <v>107</v>
      </c>
      <c r="Q36" s="45">
        <v>44</v>
      </c>
      <c r="R36" s="44"/>
      <c r="S36" s="44"/>
      <c r="T36" s="44"/>
      <c r="U36" s="44"/>
      <c r="V36" s="43">
        <v>7686</v>
      </c>
      <c r="W36" s="43">
        <v>7791</v>
      </c>
      <c r="X36" s="43">
        <v>7616</v>
      </c>
      <c r="Y36" s="42"/>
      <c r="Z36" s="46"/>
      <c r="AA36" s="45">
        <v>25</v>
      </c>
      <c r="AB36" s="45">
        <v>15</v>
      </c>
      <c r="AC36" s="45">
        <v>40</v>
      </c>
      <c r="AD36" s="45">
        <v>20</v>
      </c>
      <c r="AE36" s="45">
        <v>7679</v>
      </c>
      <c r="AF36" s="45">
        <v>7847</v>
      </c>
      <c r="AG36" s="45">
        <v>7637</v>
      </c>
      <c r="AH36" s="45"/>
      <c r="AI36" s="45"/>
      <c r="AJ36" s="45"/>
      <c r="AK36" s="45"/>
      <c r="AL36" s="42"/>
      <c r="AM36" s="42"/>
      <c r="AN36" s="45">
        <v>31</v>
      </c>
      <c r="AO36" s="45">
        <v>35</v>
      </c>
      <c r="AP36" s="45">
        <v>39</v>
      </c>
      <c r="AQ36" s="45">
        <v>8</v>
      </c>
      <c r="AR36" s="44"/>
      <c r="AS36" s="44"/>
      <c r="AT36" s="44"/>
      <c r="AU36" s="44"/>
      <c r="AV36" s="43">
        <v>7602</v>
      </c>
      <c r="AW36" s="43">
        <v>7679</v>
      </c>
      <c r="AX36" s="43">
        <v>7518</v>
      </c>
      <c r="AY36" s="42"/>
      <c r="AZ36" s="42"/>
      <c r="BA36" s="42"/>
      <c r="BB36" s="42"/>
      <c r="BC36" s="42"/>
      <c r="BD36" s="42"/>
      <c r="BE36" s="34">
        <f>((SUM(N36:P36)/3))+((SUM(AA36:AC36)/3))+((SUM(AN36:AP36)/3))</f>
        <v>166.33333333333334</v>
      </c>
      <c r="BF36" s="33">
        <f>(BE36*1.732*13.2)</f>
        <v>3802.7791999999999</v>
      </c>
      <c r="BG36" s="30"/>
      <c r="BH36" s="30"/>
      <c r="BI36" s="29"/>
      <c r="BJ36" s="28"/>
      <c r="BK36" s="29"/>
      <c r="BL36" s="28"/>
      <c r="BM36" s="27"/>
      <c r="BN36" s="26"/>
      <c r="BO36" s="27"/>
      <c r="BP36" s="26"/>
      <c r="BQ36" s="27"/>
      <c r="BR36" s="26"/>
      <c r="BS36" s="29"/>
      <c r="BT36" s="32"/>
      <c r="BU36" s="32"/>
      <c r="BV36" s="32"/>
      <c r="BW36" s="32"/>
      <c r="BX36" s="32"/>
      <c r="BY36" s="32"/>
      <c r="BZ36" s="32"/>
      <c r="CA36" s="28"/>
    </row>
    <row r="37" spans="1:79" s="2" customFormat="1" ht="18.75" x14ac:dyDescent="0.25">
      <c r="A37" s="41">
        <v>1</v>
      </c>
      <c r="B37" s="35">
        <v>68866</v>
      </c>
      <c r="C37" s="35">
        <v>69998</v>
      </c>
      <c r="D37" s="35">
        <v>67987</v>
      </c>
      <c r="E37" s="35">
        <v>22</v>
      </c>
      <c r="F37" s="35">
        <v>11</v>
      </c>
      <c r="G37" s="35">
        <v>37</v>
      </c>
      <c r="H37" s="35">
        <v>17</v>
      </c>
      <c r="I37" s="35">
        <v>7864</v>
      </c>
      <c r="J37" s="35">
        <v>7492</v>
      </c>
      <c r="K37" s="35">
        <v>7658</v>
      </c>
      <c r="L37" s="37">
        <v>720829</v>
      </c>
      <c r="M37" s="40">
        <v>0.41</v>
      </c>
      <c r="N37" s="35">
        <v>117</v>
      </c>
      <c r="O37" s="35">
        <v>76</v>
      </c>
      <c r="P37" s="35">
        <v>100</v>
      </c>
      <c r="Q37" s="35">
        <v>37</v>
      </c>
      <c r="R37" s="39">
        <v>1</v>
      </c>
      <c r="S37" s="39">
        <v>1</v>
      </c>
      <c r="T37" s="39">
        <v>1</v>
      </c>
      <c r="U37" s="39">
        <v>1</v>
      </c>
      <c r="V37" s="38">
        <v>7688</v>
      </c>
      <c r="W37" s="38">
        <v>7792</v>
      </c>
      <c r="X37" s="38">
        <v>7648</v>
      </c>
      <c r="Y37" s="37">
        <v>371930</v>
      </c>
      <c r="Z37" s="36">
        <v>26.5</v>
      </c>
      <c r="AA37" s="35">
        <v>23</v>
      </c>
      <c r="AB37" s="35">
        <v>14</v>
      </c>
      <c r="AC37" s="35">
        <v>38</v>
      </c>
      <c r="AD37" s="35">
        <v>19</v>
      </c>
      <c r="AE37" s="35">
        <v>7792</v>
      </c>
      <c r="AF37" s="35">
        <v>7847</v>
      </c>
      <c r="AG37" s="35">
        <v>7634</v>
      </c>
      <c r="AH37" s="35"/>
      <c r="AI37" s="35"/>
      <c r="AJ37" s="35"/>
      <c r="AK37" s="35"/>
      <c r="AL37" s="37">
        <v>740127</v>
      </c>
      <c r="AM37" s="40">
        <v>0.41</v>
      </c>
      <c r="AN37" s="35">
        <v>29</v>
      </c>
      <c r="AO37" s="35">
        <v>32</v>
      </c>
      <c r="AP37" s="35">
        <v>36</v>
      </c>
      <c r="AQ37" s="35">
        <v>7</v>
      </c>
      <c r="AR37" s="39">
        <v>0.99</v>
      </c>
      <c r="AS37" s="39">
        <v>0.99</v>
      </c>
      <c r="AT37" s="39">
        <v>0.99</v>
      </c>
      <c r="AU37" s="39">
        <v>0.99</v>
      </c>
      <c r="AV37" s="38">
        <v>7864</v>
      </c>
      <c r="AW37" s="38">
        <v>7724</v>
      </c>
      <c r="AX37" s="38">
        <v>7721</v>
      </c>
      <c r="AY37" s="37">
        <v>178968</v>
      </c>
      <c r="AZ37" s="36">
        <v>26.5</v>
      </c>
      <c r="BA37" s="35">
        <v>42</v>
      </c>
      <c r="BB37" s="35">
        <v>41</v>
      </c>
      <c r="BC37" s="35">
        <v>60</v>
      </c>
      <c r="BD37" s="35">
        <v>136</v>
      </c>
      <c r="BE37" s="34">
        <f>((SUM(N37:P37)/3))+((SUM(AA37:AC37)/3))+((SUM(AN37:AP37)/3))</f>
        <v>155</v>
      </c>
      <c r="BF37" s="33">
        <f>(BE37*1.732*13.2)</f>
        <v>3543.6719999999996</v>
      </c>
      <c r="BG37" s="30"/>
      <c r="BH37" s="30"/>
      <c r="BI37" s="29"/>
      <c r="BJ37" s="28"/>
      <c r="BK37" s="29"/>
      <c r="BL37" s="28"/>
      <c r="BM37" s="27"/>
      <c r="BN37" s="26"/>
      <c r="BO37" s="27"/>
      <c r="BP37" s="26"/>
      <c r="BQ37" s="27"/>
      <c r="BR37" s="26"/>
      <c r="BS37" s="29"/>
      <c r="BT37" s="32"/>
      <c r="BU37" s="32"/>
      <c r="BV37" s="32"/>
      <c r="BW37" s="32"/>
      <c r="BX37" s="32"/>
      <c r="BY37" s="32"/>
      <c r="BZ37" s="32"/>
      <c r="CA37" s="28"/>
    </row>
    <row r="38" spans="1:79" s="2" customFormat="1" ht="18.75" x14ac:dyDescent="0.3">
      <c r="A38" s="4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9"/>
      <c r="AN38" s="9"/>
      <c r="AO38" s="9"/>
      <c r="AP38" s="9"/>
      <c r="AQ38" s="20"/>
      <c r="AR38" s="31"/>
      <c r="AS38" s="31"/>
      <c r="AT38" s="31"/>
      <c r="AU38" s="31"/>
      <c r="AV38" s="31"/>
      <c r="AW38" s="31"/>
      <c r="AX38" s="31"/>
      <c r="AY38" s="20"/>
      <c r="AZ38" s="9"/>
      <c r="BA38" s="9"/>
      <c r="BB38" s="9"/>
      <c r="BC38" s="9"/>
      <c r="BF38" s="19"/>
      <c r="BG38" s="30"/>
      <c r="BH38" s="30"/>
      <c r="BI38" s="24"/>
      <c r="BJ38" s="24"/>
      <c r="BK38" s="29"/>
      <c r="BL38" s="28"/>
      <c r="BM38" s="27"/>
      <c r="BN38" s="26"/>
      <c r="BO38" s="25"/>
      <c r="BP38" s="25"/>
      <c r="BQ38" s="25"/>
      <c r="BR38" s="25"/>
      <c r="BS38" s="24"/>
      <c r="BT38" s="24"/>
      <c r="BU38" s="24"/>
      <c r="BV38" s="24"/>
      <c r="BW38" s="24"/>
      <c r="BX38" s="24"/>
      <c r="BY38" s="24"/>
      <c r="BZ38" s="24"/>
      <c r="CA38" s="24"/>
    </row>
    <row r="39" spans="1:79" s="2" customFormat="1" ht="18.75" x14ac:dyDescent="0.3">
      <c r="A39" s="4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9"/>
      <c r="AN39" s="9"/>
      <c r="AO39" s="9"/>
      <c r="AP39" s="9"/>
      <c r="AQ39" s="20"/>
      <c r="AR39" s="20"/>
      <c r="AS39" s="20"/>
      <c r="AT39" s="20"/>
      <c r="AU39" s="20"/>
      <c r="AV39" s="20"/>
      <c r="AW39" s="20"/>
      <c r="AX39" s="20"/>
      <c r="AY39" s="20"/>
      <c r="AZ39" s="9"/>
      <c r="BA39" s="9"/>
      <c r="BB39" s="9"/>
      <c r="BC39" s="9"/>
      <c r="BF39" s="19"/>
      <c r="BG39" s="22"/>
      <c r="BH39" s="22"/>
      <c r="BI39" s="22"/>
      <c r="BJ39" s="22"/>
      <c r="BK39" s="22"/>
      <c r="BL39" s="22"/>
      <c r="BM39" s="22"/>
      <c r="BN39" s="22"/>
      <c r="BO39" s="21"/>
      <c r="BP39" s="22"/>
      <c r="BQ39" s="22"/>
      <c r="BR39" s="22"/>
      <c r="BS39" s="22"/>
      <c r="BT39" s="22"/>
      <c r="BU39" s="23"/>
      <c r="BV39" s="22"/>
      <c r="BW39" s="22"/>
      <c r="BX39" s="22"/>
      <c r="BY39" s="22"/>
      <c r="BZ39" s="22"/>
      <c r="CA39" s="21"/>
    </row>
    <row r="40" spans="1:79" s="2" customFormat="1" ht="18.75" x14ac:dyDescent="0.3">
      <c r="A40" s="4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9"/>
      <c r="AN40" s="9"/>
      <c r="AO40" s="9"/>
      <c r="AP40" s="9"/>
      <c r="AQ40" s="20"/>
      <c r="AR40" s="20"/>
      <c r="AS40" s="20"/>
      <c r="AT40" s="20"/>
      <c r="AU40" s="20"/>
      <c r="AV40" s="20"/>
      <c r="AW40" s="20"/>
      <c r="AX40" s="20"/>
      <c r="AY40" s="20"/>
      <c r="AZ40" s="9"/>
      <c r="BA40" s="9"/>
      <c r="BB40" s="9"/>
      <c r="BC40" s="9"/>
      <c r="BF40" s="19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</row>
    <row r="41" spans="1:79" s="2" customFormat="1" ht="18.75" x14ac:dyDescent="0.3">
      <c r="A41" s="18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20"/>
      <c r="AQ41" s="9"/>
      <c r="AR41" s="9"/>
      <c r="AS41" s="9"/>
      <c r="AT41" s="9"/>
      <c r="AU41" s="9"/>
      <c r="AV41" s="9"/>
      <c r="AW41" s="9"/>
      <c r="AX41" s="9"/>
      <c r="AY41" s="9"/>
      <c r="AZ41" s="17"/>
      <c r="BA41" s="17"/>
      <c r="BB41" s="9"/>
      <c r="BC41" s="9"/>
      <c r="BF41" s="19"/>
      <c r="BG41" s="5" t="s">
        <v>3</v>
      </c>
      <c r="BH41" s="5"/>
      <c r="BI41" s="7"/>
      <c r="BJ41" s="7"/>
      <c r="BK41" s="7"/>
      <c r="BL41" s="7"/>
      <c r="BM41" s="7"/>
      <c r="BN41" s="13"/>
      <c r="BO41" s="13"/>
      <c r="BP41" s="13"/>
      <c r="BQ41" s="16"/>
      <c r="BR41" s="16"/>
      <c r="BS41" s="16"/>
      <c r="BT41" s="12"/>
      <c r="BU41" s="12"/>
      <c r="BV41" s="12"/>
      <c r="BW41" s="5" t="s">
        <v>4</v>
      </c>
      <c r="BX41" s="5"/>
      <c r="BY41" s="7"/>
      <c r="BZ41" s="7"/>
      <c r="CA41" s="7"/>
    </row>
    <row r="42" spans="1:79" s="2" customFormat="1" ht="18.75" x14ac:dyDescent="0.3">
      <c r="A42" s="18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5" t="s">
        <v>4</v>
      </c>
      <c r="BA42" s="5"/>
      <c r="BB42" s="7"/>
      <c r="BC42" s="7"/>
      <c r="BD42" s="7"/>
      <c r="BF42" s="1"/>
      <c r="BG42" s="10"/>
      <c r="BH42" s="9"/>
      <c r="BI42" s="9"/>
      <c r="BJ42" s="9"/>
      <c r="BK42" s="9"/>
      <c r="BL42" s="9"/>
      <c r="BM42" s="9"/>
      <c r="BN42" s="13"/>
      <c r="BO42" s="13"/>
      <c r="BP42" s="13"/>
      <c r="BQ42" s="16"/>
      <c r="BR42" s="16"/>
      <c r="BS42" s="16"/>
      <c r="BT42" s="12"/>
      <c r="BU42" s="12"/>
      <c r="BV42" s="12"/>
      <c r="BW42" s="10"/>
      <c r="BX42" s="9"/>
      <c r="BY42" s="9"/>
      <c r="BZ42" s="9"/>
    </row>
    <row r="43" spans="1:79" s="2" customFormat="1" ht="18.75" x14ac:dyDescent="0.3">
      <c r="A43" s="5" t="s">
        <v>3</v>
      </c>
      <c r="B43" s="5"/>
      <c r="C43" s="7" t="s">
        <v>8</v>
      </c>
      <c r="D43" s="7"/>
      <c r="E43" s="7"/>
      <c r="F43" s="7"/>
      <c r="G43" s="7"/>
      <c r="H43" s="7"/>
      <c r="I43" s="7"/>
      <c r="J43" s="7"/>
      <c r="K43" s="15"/>
      <c r="L43" s="9"/>
      <c r="M43" s="5"/>
      <c r="N43" s="5"/>
      <c r="O43" s="5" t="s">
        <v>1</v>
      </c>
      <c r="P43" s="5"/>
      <c r="Q43" s="5"/>
      <c r="R43" s="5"/>
      <c r="S43" s="4"/>
      <c r="T43" s="4"/>
      <c r="U43" s="4"/>
      <c r="V43" s="14" t="s">
        <v>7</v>
      </c>
      <c r="W43" s="14"/>
      <c r="X43" s="14"/>
      <c r="Y43" s="14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10"/>
      <c r="BA43" s="9"/>
      <c r="BB43" s="9"/>
      <c r="BC43" s="9"/>
      <c r="BF43" s="1"/>
      <c r="BG43" s="5" t="s">
        <v>3</v>
      </c>
      <c r="BH43" s="5"/>
      <c r="BI43" s="8"/>
      <c r="BJ43" s="8"/>
      <c r="BK43" s="8"/>
      <c r="BL43" s="8"/>
      <c r="BM43" s="8"/>
      <c r="BN43" s="13"/>
      <c r="BO43" s="13"/>
      <c r="BP43" s="13"/>
      <c r="BQ43" s="13"/>
      <c r="BR43" s="13"/>
      <c r="BS43" s="13"/>
      <c r="BT43" s="12"/>
      <c r="BU43" s="12"/>
      <c r="BV43" s="12"/>
      <c r="BW43" s="5" t="s">
        <v>4</v>
      </c>
      <c r="BX43" s="5"/>
      <c r="BY43" s="8"/>
      <c r="BZ43" s="8"/>
      <c r="CA43" s="8"/>
    </row>
    <row r="44" spans="1:79" s="2" customFormat="1" ht="18.75" x14ac:dyDescent="0.3">
      <c r="A44" s="10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10"/>
      <c r="N44" s="9"/>
      <c r="O44" s="9"/>
      <c r="P44" s="9"/>
      <c r="Q44" s="10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11"/>
      <c r="AW44" s="9"/>
      <c r="AX44" s="9"/>
      <c r="AY44" s="9"/>
      <c r="AZ44" s="5" t="s">
        <v>4</v>
      </c>
      <c r="BA44" s="5"/>
      <c r="BB44" s="8"/>
      <c r="BC44" s="8"/>
      <c r="BD44" s="8"/>
      <c r="BF44" s="1"/>
      <c r="BG44" s="10"/>
      <c r="BH44" s="9"/>
      <c r="BI44" s="9"/>
      <c r="BJ44" s="9"/>
      <c r="BK44" s="9"/>
      <c r="BL44" s="9"/>
      <c r="BM44" s="9"/>
      <c r="BN44" s="1"/>
      <c r="BO44" s="1"/>
      <c r="BP44" s="1"/>
      <c r="BQ44" s="1"/>
      <c r="BR44" s="1"/>
      <c r="BS44" s="1"/>
      <c r="BT44" s="1"/>
      <c r="BU44" s="1"/>
      <c r="BV44" s="1"/>
      <c r="BW44" s="10"/>
      <c r="BX44" s="9"/>
      <c r="BY44" s="9"/>
      <c r="BZ44" s="9"/>
    </row>
    <row r="45" spans="1:79" s="2" customFormat="1" ht="18.75" x14ac:dyDescent="0.3">
      <c r="A45" s="5" t="s">
        <v>3</v>
      </c>
      <c r="B45" s="5"/>
      <c r="C45" s="7" t="s">
        <v>6</v>
      </c>
      <c r="D45" s="7"/>
      <c r="E45" s="7"/>
      <c r="F45" s="7"/>
      <c r="G45" s="7"/>
      <c r="H45" s="7"/>
      <c r="I45" s="7"/>
      <c r="J45" s="7"/>
      <c r="K45" s="6"/>
      <c r="L45" s="9"/>
      <c r="M45" s="5"/>
      <c r="N45" s="5"/>
      <c r="O45" s="5" t="s">
        <v>1</v>
      </c>
      <c r="P45" s="5"/>
      <c r="Q45" s="5"/>
      <c r="R45" s="5"/>
      <c r="S45" s="4"/>
      <c r="T45" s="4"/>
      <c r="U45" s="4"/>
      <c r="V45" s="3" t="s">
        <v>5</v>
      </c>
      <c r="W45" s="3"/>
      <c r="X45" s="3"/>
      <c r="Y45" s="3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10"/>
      <c r="BA45" s="9"/>
      <c r="BB45" s="9"/>
      <c r="BC45" s="9"/>
      <c r="BF45" s="1"/>
      <c r="BG45" s="5" t="s">
        <v>3</v>
      </c>
      <c r="BH45" s="5"/>
      <c r="BI45" s="8"/>
      <c r="BJ45" s="8"/>
      <c r="BK45" s="8"/>
      <c r="BL45" s="8"/>
      <c r="BM45" s="8"/>
      <c r="BW45" s="5" t="s">
        <v>4</v>
      </c>
      <c r="BX45" s="5"/>
      <c r="BY45" s="8"/>
      <c r="BZ45" s="8"/>
      <c r="CA45" s="8"/>
    </row>
    <row r="46" spans="1:79" s="2" customFormat="1" ht="18.75" x14ac:dyDescent="0.3">
      <c r="A46" s="1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10"/>
      <c r="N46" s="9"/>
      <c r="O46" s="9"/>
      <c r="P46" s="9"/>
      <c r="Q46" s="10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Z46" s="5" t="s">
        <v>4</v>
      </c>
      <c r="BA46" s="5"/>
      <c r="BB46" s="8"/>
      <c r="BC46" s="8"/>
      <c r="BD46" s="8"/>
      <c r="BF46" s="1"/>
    </row>
    <row r="47" spans="1:79" s="2" customFormat="1" ht="18.75" x14ac:dyDescent="0.25">
      <c r="A47" s="5" t="s">
        <v>3</v>
      </c>
      <c r="B47" s="5"/>
      <c r="C47" s="7" t="s">
        <v>2</v>
      </c>
      <c r="D47" s="7"/>
      <c r="E47" s="7"/>
      <c r="F47" s="7"/>
      <c r="G47" s="7"/>
      <c r="H47" s="7"/>
      <c r="I47" s="7"/>
      <c r="J47" s="7"/>
      <c r="K47" s="6"/>
      <c r="M47" s="5"/>
      <c r="N47" s="5"/>
      <c r="O47" s="5" t="s">
        <v>1</v>
      </c>
      <c r="P47" s="5"/>
      <c r="Q47" s="5"/>
      <c r="R47" s="5"/>
      <c r="S47" s="4"/>
      <c r="T47" s="4"/>
      <c r="U47" s="4"/>
      <c r="V47" s="3" t="s">
        <v>0</v>
      </c>
      <c r="W47" s="3"/>
      <c r="X47" s="3"/>
      <c r="Y47" s="3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</row>
    <row r="48" spans="1:79" s="2" customFormat="1" x14ac:dyDescent="0.25"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</row>
    <row r="49" spans="1:4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</row>
  </sheetData>
  <mergeCells count="356">
    <mergeCell ref="A1:BB1"/>
    <mergeCell ref="BG1:CA1"/>
    <mergeCell ref="A2:BB2"/>
    <mergeCell ref="BB3:BD3"/>
    <mergeCell ref="BG3:CA3"/>
    <mergeCell ref="BG4:BG5"/>
    <mergeCell ref="BH4:BH5"/>
    <mergeCell ref="BI4:BJ5"/>
    <mergeCell ref="BK4:CA4"/>
    <mergeCell ref="BK5:BL5"/>
    <mergeCell ref="BM5:BN5"/>
    <mergeCell ref="BO5:BP5"/>
    <mergeCell ref="BQ5:BR5"/>
    <mergeCell ref="BS5:CA5"/>
    <mergeCell ref="BI6:BJ6"/>
    <mergeCell ref="BK6:BL6"/>
    <mergeCell ref="BM6:BN6"/>
    <mergeCell ref="BO6:BP6"/>
    <mergeCell ref="BQ6:BR6"/>
    <mergeCell ref="BS6:CA6"/>
    <mergeCell ref="A7:BB7"/>
    <mergeCell ref="BI7:BJ7"/>
    <mergeCell ref="BK7:BL7"/>
    <mergeCell ref="BM7:BN7"/>
    <mergeCell ref="BO7:BP7"/>
    <mergeCell ref="BQ7:BR7"/>
    <mergeCell ref="BS7:CA7"/>
    <mergeCell ref="BI8:BJ8"/>
    <mergeCell ref="BK8:BL8"/>
    <mergeCell ref="BM8:BN8"/>
    <mergeCell ref="BO8:BP8"/>
    <mergeCell ref="BQ8:BR8"/>
    <mergeCell ref="BS8:CA8"/>
    <mergeCell ref="A10:A13"/>
    <mergeCell ref="B10:M11"/>
    <mergeCell ref="N10:Z11"/>
    <mergeCell ref="AA10:AL11"/>
    <mergeCell ref="AM10:AY11"/>
    <mergeCell ref="AZ10:BA11"/>
    <mergeCell ref="BB10:BB11"/>
    <mergeCell ref="BC10:BC11"/>
    <mergeCell ref="BD10:BD11"/>
    <mergeCell ref="BK10:BL10"/>
    <mergeCell ref="BM10:BN10"/>
    <mergeCell ref="BO10:BP10"/>
    <mergeCell ref="BG9:BG10"/>
    <mergeCell ref="BH9:BH10"/>
    <mergeCell ref="BI9:BJ10"/>
    <mergeCell ref="BK9:CA9"/>
    <mergeCell ref="BQ10:BR10"/>
    <mergeCell ref="BS10:CA10"/>
    <mergeCell ref="BI11:BJ11"/>
    <mergeCell ref="BK11:BL11"/>
    <mergeCell ref="BM11:BN11"/>
    <mergeCell ref="BO11:BP11"/>
    <mergeCell ref="BQ11:BR11"/>
    <mergeCell ref="BS11:CA11"/>
    <mergeCell ref="B12:D12"/>
    <mergeCell ref="E12:H12"/>
    <mergeCell ref="I12:K12"/>
    <mergeCell ref="L12:L13"/>
    <mergeCell ref="M12:M13"/>
    <mergeCell ref="N12:Q12"/>
    <mergeCell ref="R12:U12"/>
    <mergeCell ref="V12:X12"/>
    <mergeCell ref="Y12:Y13"/>
    <mergeCell ref="Z12:Z13"/>
    <mergeCell ref="AA12:AD12"/>
    <mergeCell ref="AE12:AG12"/>
    <mergeCell ref="AH12:AK12"/>
    <mergeCell ref="AL12:AL13"/>
    <mergeCell ref="AM12:AM13"/>
    <mergeCell ref="AN12:AQ12"/>
    <mergeCell ref="AR12:AU12"/>
    <mergeCell ref="AV12:AX12"/>
    <mergeCell ref="AY12:AY13"/>
    <mergeCell ref="AZ12:AZ13"/>
    <mergeCell ref="BA12:BA13"/>
    <mergeCell ref="BB12:BB13"/>
    <mergeCell ref="BC12:BC13"/>
    <mergeCell ref="BD12:BD13"/>
    <mergeCell ref="BI12:BJ12"/>
    <mergeCell ref="BK12:BL12"/>
    <mergeCell ref="BM12:BN12"/>
    <mergeCell ref="BO12:BP12"/>
    <mergeCell ref="BQ12:BR12"/>
    <mergeCell ref="BS12:CA12"/>
    <mergeCell ref="BI13:BJ13"/>
    <mergeCell ref="BK13:BL13"/>
    <mergeCell ref="BM13:BN13"/>
    <mergeCell ref="BO13:BP13"/>
    <mergeCell ref="BQ13:BR13"/>
    <mergeCell ref="BS13:CA13"/>
    <mergeCell ref="L14:L15"/>
    <mergeCell ref="M14:M15"/>
    <mergeCell ref="Y14:Y15"/>
    <mergeCell ref="Z14:Z15"/>
    <mergeCell ref="AL14:AL15"/>
    <mergeCell ref="AM14:AM15"/>
    <mergeCell ref="AY14:AY15"/>
    <mergeCell ref="AZ14:AZ15"/>
    <mergeCell ref="BA14:BA15"/>
    <mergeCell ref="BB14:BB15"/>
    <mergeCell ref="BC14:BC15"/>
    <mergeCell ref="BD14:BD15"/>
    <mergeCell ref="BI14:BJ14"/>
    <mergeCell ref="BK14:BL14"/>
    <mergeCell ref="BM14:BN14"/>
    <mergeCell ref="BO14:BP14"/>
    <mergeCell ref="BQ14:BR14"/>
    <mergeCell ref="BS14:CA14"/>
    <mergeCell ref="BI15:BJ15"/>
    <mergeCell ref="BK15:BL15"/>
    <mergeCell ref="BM15:BN15"/>
    <mergeCell ref="BO15:BP15"/>
    <mergeCell ref="BQ15:BR15"/>
    <mergeCell ref="BS15:CA15"/>
    <mergeCell ref="BG16:BG17"/>
    <mergeCell ref="BH16:BH17"/>
    <mergeCell ref="BI16:BJ17"/>
    <mergeCell ref="BK16:CA16"/>
    <mergeCell ref="L17:L18"/>
    <mergeCell ref="M17:M18"/>
    <mergeCell ref="Y17:Y18"/>
    <mergeCell ref="Z17:Z18"/>
    <mergeCell ref="AL17:AL18"/>
    <mergeCell ref="AM17:AM18"/>
    <mergeCell ref="AY17:AY18"/>
    <mergeCell ref="AZ17:AZ18"/>
    <mergeCell ref="BA17:BA18"/>
    <mergeCell ref="BB17:BB18"/>
    <mergeCell ref="BC17:BC18"/>
    <mergeCell ref="BD17:BD18"/>
    <mergeCell ref="BK17:BL17"/>
    <mergeCell ref="BM17:BN17"/>
    <mergeCell ref="BO17:BP17"/>
    <mergeCell ref="BQ17:BR17"/>
    <mergeCell ref="BS17:CA17"/>
    <mergeCell ref="BI18:BJ18"/>
    <mergeCell ref="BK18:BL18"/>
    <mergeCell ref="BM18:BN18"/>
    <mergeCell ref="BO18:BP18"/>
    <mergeCell ref="BQ18:BR18"/>
    <mergeCell ref="BS18:CA18"/>
    <mergeCell ref="BI19:BJ19"/>
    <mergeCell ref="BK19:BL19"/>
    <mergeCell ref="BM19:BN19"/>
    <mergeCell ref="BO19:BP19"/>
    <mergeCell ref="BQ19:BR19"/>
    <mergeCell ref="BS19:CA19"/>
    <mergeCell ref="L20:L21"/>
    <mergeCell ref="M20:M21"/>
    <mergeCell ref="Y20:Y21"/>
    <mergeCell ref="Z20:Z21"/>
    <mergeCell ref="AL20:AL21"/>
    <mergeCell ref="AM20:AM21"/>
    <mergeCell ref="AY20:AY21"/>
    <mergeCell ref="AZ20:AZ21"/>
    <mergeCell ref="BA20:BA21"/>
    <mergeCell ref="BB20:BB21"/>
    <mergeCell ref="BC20:BC21"/>
    <mergeCell ref="BD20:BD21"/>
    <mergeCell ref="BI20:BJ20"/>
    <mergeCell ref="BK20:BL20"/>
    <mergeCell ref="BM20:BN20"/>
    <mergeCell ref="BO20:BP20"/>
    <mergeCell ref="BQ20:BR20"/>
    <mergeCell ref="BS20:CA20"/>
    <mergeCell ref="BI21:BJ21"/>
    <mergeCell ref="BK21:BL21"/>
    <mergeCell ref="BM21:BN21"/>
    <mergeCell ref="BO21:BP21"/>
    <mergeCell ref="BQ21:BR21"/>
    <mergeCell ref="BS21:CA21"/>
    <mergeCell ref="BI22:BJ22"/>
    <mergeCell ref="BK22:BL22"/>
    <mergeCell ref="BM22:BN22"/>
    <mergeCell ref="BO22:BP22"/>
    <mergeCell ref="BQ22:BR22"/>
    <mergeCell ref="BS22:CA22"/>
    <mergeCell ref="L23:L24"/>
    <mergeCell ref="M23:M24"/>
    <mergeCell ref="Y23:Y24"/>
    <mergeCell ref="Z23:Z24"/>
    <mergeCell ref="AL23:AL24"/>
    <mergeCell ref="AM23:AM24"/>
    <mergeCell ref="AY23:AY24"/>
    <mergeCell ref="AZ23:AZ24"/>
    <mergeCell ref="BA23:BA24"/>
    <mergeCell ref="BB23:BB24"/>
    <mergeCell ref="BC23:BC24"/>
    <mergeCell ref="BD23:BD24"/>
    <mergeCell ref="BG23:BG24"/>
    <mergeCell ref="BH23:BH24"/>
    <mergeCell ref="BI23:BJ24"/>
    <mergeCell ref="BK23:CA23"/>
    <mergeCell ref="BK24:BL24"/>
    <mergeCell ref="BM24:BN24"/>
    <mergeCell ref="BO24:BP24"/>
    <mergeCell ref="BQ24:BR24"/>
    <mergeCell ref="BS24:CA24"/>
    <mergeCell ref="BI25:BJ25"/>
    <mergeCell ref="BK25:BL25"/>
    <mergeCell ref="BM25:BN25"/>
    <mergeCell ref="BO25:BP25"/>
    <mergeCell ref="BQ25:BR25"/>
    <mergeCell ref="BS25:CA25"/>
    <mergeCell ref="L26:L27"/>
    <mergeCell ref="M26:M27"/>
    <mergeCell ref="Y26:Y27"/>
    <mergeCell ref="AL26:AL27"/>
    <mergeCell ref="AM26:AM27"/>
    <mergeCell ref="AY26:AY27"/>
    <mergeCell ref="AZ26:AZ27"/>
    <mergeCell ref="BA26:BA27"/>
    <mergeCell ref="BB26:BB27"/>
    <mergeCell ref="BC26:BC27"/>
    <mergeCell ref="BD26:BD27"/>
    <mergeCell ref="BI26:BJ26"/>
    <mergeCell ref="BK26:BL26"/>
    <mergeCell ref="BM26:BN26"/>
    <mergeCell ref="BO26:BP26"/>
    <mergeCell ref="BQ26:BR26"/>
    <mergeCell ref="BS26:CA26"/>
    <mergeCell ref="BI27:BJ27"/>
    <mergeCell ref="BK27:BL27"/>
    <mergeCell ref="BM27:BN27"/>
    <mergeCell ref="BO27:BP27"/>
    <mergeCell ref="BQ27:BR27"/>
    <mergeCell ref="BS27:CA27"/>
    <mergeCell ref="BI28:BJ28"/>
    <mergeCell ref="BK28:BL28"/>
    <mergeCell ref="BM28:BN28"/>
    <mergeCell ref="BO28:BP28"/>
    <mergeCell ref="BQ28:BR28"/>
    <mergeCell ref="BS28:CA28"/>
    <mergeCell ref="L29:L30"/>
    <mergeCell ref="M29:M30"/>
    <mergeCell ref="Y29:Y30"/>
    <mergeCell ref="AL29:AL30"/>
    <mergeCell ref="AM29:AM30"/>
    <mergeCell ref="AY29:AY30"/>
    <mergeCell ref="AZ29:AZ30"/>
    <mergeCell ref="BA29:BA30"/>
    <mergeCell ref="BB29:BB30"/>
    <mergeCell ref="BC29:BC30"/>
    <mergeCell ref="BD29:BD30"/>
    <mergeCell ref="BI29:BJ29"/>
    <mergeCell ref="BK29:BL29"/>
    <mergeCell ref="BM29:BN29"/>
    <mergeCell ref="BO29:BP29"/>
    <mergeCell ref="BQ29:BR29"/>
    <mergeCell ref="BS29:CA29"/>
    <mergeCell ref="BG31:CA31"/>
    <mergeCell ref="L32:L33"/>
    <mergeCell ref="M32:M33"/>
    <mergeCell ref="Y32:Y33"/>
    <mergeCell ref="AL32:AL33"/>
    <mergeCell ref="AM32:AM33"/>
    <mergeCell ref="AY32:AY33"/>
    <mergeCell ref="AZ32:AZ33"/>
    <mergeCell ref="BA32:BA33"/>
    <mergeCell ref="BB32:BB33"/>
    <mergeCell ref="BC32:BC33"/>
    <mergeCell ref="BD32:BD33"/>
    <mergeCell ref="BG32:BG33"/>
    <mergeCell ref="BH32:BH33"/>
    <mergeCell ref="BI32:BJ33"/>
    <mergeCell ref="BK32:CA32"/>
    <mergeCell ref="BK33:BL33"/>
    <mergeCell ref="BM33:BN33"/>
    <mergeCell ref="BO33:BP33"/>
    <mergeCell ref="BQ33:BR33"/>
    <mergeCell ref="BS33:CA33"/>
    <mergeCell ref="BI34:BJ34"/>
    <mergeCell ref="BK34:BL34"/>
    <mergeCell ref="BM34:BN34"/>
    <mergeCell ref="BO34:BP34"/>
    <mergeCell ref="BQ34:BR34"/>
    <mergeCell ref="BS34:CA34"/>
    <mergeCell ref="L35:L36"/>
    <mergeCell ref="M35:M36"/>
    <mergeCell ref="Y35:Y36"/>
    <mergeCell ref="AL35:AL36"/>
    <mergeCell ref="AM35:AM36"/>
    <mergeCell ref="AY35:AY36"/>
    <mergeCell ref="AZ35:AZ36"/>
    <mergeCell ref="BA35:BA36"/>
    <mergeCell ref="BB35:BB36"/>
    <mergeCell ref="BC35:BC36"/>
    <mergeCell ref="BD35:BD36"/>
    <mergeCell ref="BI35:BJ35"/>
    <mergeCell ref="BK35:BL35"/>
    <mergeCell ref="BM35:BN35"/>
    <mergeCell ref="BO35:BP35"/>
    <mergeCell ref="BQ35:BR35"/>
    <mergeCell ref="BS35:CA35"/>
    <mergeCell ref="BI36:BJ36"/>
    <mergeCell ref="BK36:BL36"/>
    <mergeCell ref="BM36:BN36"/>
    <mergeCell ref="BO36:BP36"/>
    <mergeCell ref="BQ36:BR36"/>
    <mergeCell ref="BS36:CA36"/>
    <mergeCell ref="BI37:BJ37"/>
    <mergeCell ref="BK37:BL37"/>
    <mergeCell ref="BM37:BN37"/>
    <mergeCell ref="BO37:BP37"/>
    <mergeCell ref="BQ37:BR37"/>
    <mergeCell ref="BS37:CA37"/>
    <mergeCell ref="BI41:BM41"/>
    <mergeCell ref="BQ41:BS41"/>
    <mergeCell ref="BT41:BV41"/>
    <mergeCell ref="BI38:BJ38"/>
    <mergeCell ref="BK38:BL38"/>
    <mergeCell ref="BM38:BN38"/>
    <mergeCell ref="BO38:BP38"/>
    <mergeCell ref="BQ38:BR38"/>
    <mergeCell ref="BS38:CA38"/>
    <mergeCell ref="BW41:BX41"/>
    <mergeCell ref="BY41:CA41"/>
    <mergeCell ref="P42:AO42"/>
    <mergeCell ref="AZ42:BA42"/>
    <mergeCell ref="BB42:BD42"/>
    <mergeCell ref="BQ42:BS42"/>
    <mergeCell ref="BT42:BV42"/>
    <mergeCell ref="P41:AO41"/>
    <mergeCell ref="AZ41:BA41"/>
    <mergeCell ref="BG41:BH41"/>
    <mergeCell ref="A43:B43"/>
    <mergeCell ref="C43:J43"/>
    <mergeCell ref="M43:N43"/>
    <mergeCell ref="O43:R43"/>
    <mergeCell ref="V43:Y43"/>
    <mergeCell ref="BG43:BH43"/>
    <mergeCell ref="BI43:BM43"/>
    <mergeCell ref="BT43:BV43"/>
    <mergeCell ref="BW43:BX43"/>
    <mergeCell ref="BY43:CA43"/>
    <mergeCell ref="AZ44:BA44"/>
    <mergeCell ref="BB44:BD44"/>
    <mergeCell ref="A45:B45"/>
    <mergeCell ref="C45:J45"/>
    <mergeCell ref="M45:N45"/>
    <mergeCell ref="O45:R45"/>
    <mergeCell ref="V45:Y45"/>
    <mergeCell ref="BG45:BH45"/>
    <mergeCell ref="BI45:BM45"/>
    <mergeCell ref="BW45:BX45"/>
    <mergeCell ref="BY45:CA45"/>
    <mergeCell ref="AZ46:BA46"/>
    <mergeCell ref="BB46:BD46"/>
    <mergeCell ref="A47:B47"/>
    <mergeCell ref="C47:J47"/>
    <mergeCell ref="M47:N47"/>
    <mergeCell ref="O47:R47"/>
    <mergeCell ref="V47:Y4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MAR.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Nabua</dc:creator>
  <cp:lastModifiedBy>Nabua</cp:lastModifiedBy>
  <dcterms:created xsi:type="dcterms:W3CDTF">2026-03-02T01:44:53Z</dcterms:created>
  <dcterms:modified xsi:type="dcterms:W3CDTF">2026-03-02T01:45:28Z</dcterms:modified>
</cp:coreProperties>
</file>